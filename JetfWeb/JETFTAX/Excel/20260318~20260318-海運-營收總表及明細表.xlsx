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海快通關狀態彙總表" sheetId="1" r:id="rId3"/>
  </sheets>
</workbook>
</file>

<file path=xl/sharedStrings.xml><?xml version="1.0" encoding="utf-8"?>
<sst xmlns="http://schemas.openxmlformats.org/spreadsheetml/2006/main" count="22" uniqueCount="18">
  <si>
    <t xml:space="preserve">20260318海快通關狀態彙總表</t>
  </si>
  <si>
    <t xml:space="preserve">入倉日</t>
  </si>
  <si>
    <t xml:space="preserve">倉儲</t>
  </si>
  <si>
    <t xml:space="preserve">通關主號數</t>
  </si>
  <si>
    <t xml:space="preserve">入倉件數
A</t>
  </si>
  <si>
    <t xml:space="preserve">出倉件數
B</t>
  </si>
  <si>
    <t xml:space="preserve">C3件數
C</t>
  </si>
  <si>
    <t xml:space="preserve">留庫件數
D=A-B</t>
  </si>
  <si>
    <t xml:space="preserve">查驗比率
(C+D)/A</t>
  </si>
  <si>
    <t xml:space="preserve">入倉毛重</t>
  </si>
  <si>
    <t xml:space="preserve">袋數</t>
  </si>
  <si>
    <t xml:space="preserve">筆數</t>
  </si>
  <si>
    <t xml:space="preserve">20260318</t>
  </si>
  <si>
    <t xml:space="preserve">日小計</t>
  </si>
  <si>
    <t xml:space="preserve">chwn</t>
  </si>
  <si>
    <t xml:space="preserve">jfkh</t>
  </si>
  <si>
    <t xml:space="preserve">jfkl</t>
  </si>
  <si>
    <t xml:space="preserve">tpct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</si>
</sst>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%"/>
  </numFmts>
  <fonts count="3">
    <font>
      <sz val="11"/>
      <color indexed="8"/>
      <name val="Calibri"/>
      <family val="2"/>
      <scheme val="minor"/>
    </font>
    <font>
      <sz val="18"/>
      <color indexed="12"/>
      <name val="微軟正黑體"/>
    </font>
    <font>
      <sz val="18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ck"/>
      <bottom/>
      <diagonal/>
    </border>
    <border>
      <left/>
      <right/>
      <top style="thick"/>
      <bottom style="thick"/>
      <diagonal/>
    </border>
    <border>
      <left style="thick"/>
      <right/>
      <top style="thick"/>
      <bottom style="thick"/>
      <diagonal/>
    </border>
    <border>
      <left style="thick"/>
      <right style="thick"/>
      <top style="thick"/>
      <bottom style="thick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</borders>
  <cellStyleXfs count="1">
    <xf numFmtId="0" fontId="0" fillId="0" borderId="0" xfId="0"/>
  </cellStyleXfs>
  <cellXfs count="31">
    <xf numFmtId="0" fontId="0" fillId="0" borderId="0" xfId="0"/>
    <xf numFmtId="0" fontId="2" fillId="0" borderId="4" xfId="0" applyFont="1" applyBorder="1">
      <alignment horizontal="center" vertical="center"/>
    </xf>
    <xf numFmtId="0" fontId="2" fillId="0" borderId="4" xfId="0" applyFont="1" applyBorder="1">
      <alignment horizontal="left" vertical="center"/>
    </xf>
    <xf numFmtId="0" fontId="2" fillId="0" borderId="4" xfId="0" applyFont="1" applyBorder="1">
      <alignment horizontal="center" vertical="center" wrapText="1"/>
    </xf>
    <xf numFmtId="0" fontId="2" fillId="0" borderId="4" xfId="0" applyFont="1" applyBorder="1">
      <alignment horizontal="left" vertical="center" wrapText="1"/>
    </xf>
    <xf numFmtId="0" fontId="2" fillId="0" borderId="8" xfId="0" applyFont="1" applyBorder="1">
      <alignment horizontal="center" vertical="center" wrapText="1"/>
    </xf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3" fontId="2" fillId="0" borderId="4" xfId="0" applyNumberFormat="1" applyFont="1" applyBorder="1"/>
    <xf numFmtId="3" fontId="2" fillId="0" borderId="8" xfId="0" applyNumberFormat="1" applyFont="1" applyBorder="1"/>
    <xf numFmtId="3" fontId="1" fillId="0" borderId="4" xfId="0" applyNumberFormat="1" applyFont="1" applyBorder="1"/>
    <xf numFmtId="3" fontId="1" fillId="0" borderId="8" xfId="0" applyNumberFormat="1" applyFont="1" applyBorder="1"/>
    <xf numFmtId="164" fontId="2" fillId="0" borderId="4" xfId="0" applyNumberFormat="1" applyFont="1" applyBorder="1"/>
    <xf numFmtId="10" fontId="2" fillId="0" borderId="4" xfId="0" applyNumberFormat="1" applyFont="1" applyBorder="1"/>
    <xf numFmtId="165" fontId="2" fillId="0" borderId="4" xfId="0" applyNumberFormat="1" applyFont="1" applyBorder="1"/>
    <xf numFmtId="0" fontId="0" fillId="0" borderId="0" xfId="0"/>
    <xf numFmtId="0" fontId="0" fillId="3" borderId="16" xfId="0" applyNumberFormat="1" applyFont="1" applyFill="1" applyBorder="1">
      <alignment/>
      <protection locked="1"/>
    </xf>
    <xf numFmtId="0" fontId="0" fillId="0" borderId="0" xfId="0"/>
    <xf numFmtId="0" fontId="0" fillId="3" borderId="24" xfId="0" applyNumberFormat="1" applyFont="1" applyFill="1" applyBorder="1">
      <alignment/>
      <protection locked="1"/>
    </xf>
    <xf numFmtId="0" fontId="0" fillId="0" borderId="0" xfId="0"/>
    <xf numFmtId="0" fontId="0" fillId="3" borderId="25" xfId="0" applyNumberFormat="1" applyFont="1" applyFill="1" applyBorder="1">
      <alignment/>
      <protection locked="1"/>
    </xf>
    <xf numFmtId="0" fontId="0" fillId="0" borderId="0" xfId="0"/>
    <xf numFmtId="0" fontId="0" fillId="3" borderId="35" xfId="0" applyNumberFormat="1" applyFont="1" applyFill="1" applyBorder="1">
      <alignment/>
      <protection locked="1"/>
    </xf>
    <xf numFmtId="0" fontId="0" fillId="0" borderId="0" xfId="0"/>
    <xf numFmtId="0" fontId="0" fillId="3" borderId="40" xfId="0" applyNumberFormat="1" applyFont="1" applyFill="1" applyBorder="1">
      <alignment/>
      <protection locked="1"/>
    </xf>
    <xf numFmtId="0" fontId="0" fillId="0" borderId="0" xfId="0"/>
    <xf numFmtId="0" fontId="0" fillId="3" borderId="45" xfId="0" applyNumberFormat="1" applyFont="1" applyFill="1" applyBorder="1">
      <alignment/>
      <protection locked="1"/>
    </xf>
    <xf numFmtId="0" fontId="0" fillId="0" borderId="0" xfId="0"/>
    <xf numFmtId="0" fontId="0" fillId="3" borderId="51" xfId="0" applyNumberFormat="1" applyFont="1" applyFill="1" applyBorder="1">
      <alignment/>
      <protection locked="1"/>
    </xf>
    <xf numFmtId="0" fontId="0" fillId="0" borderId="0" xfId="0"/>
    <xf numFmtId="0" fontId="0" fillId="3" borderId="56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30" customHeight="1"/>
  <cols>
    <col min="1" max="1" width="17.578125" customWidth="1" collapsed="1"/>
    <col min="2" max="2" width="13.671875" customWidth="1" collapsed="1"/>
    <col min="3" max="3" width="19.53125" customWidth="1" collapsed="1"/>
    <col min="4" max="4" width="17.578125" customWidth="1" collapsed="1"/>
    <col min="5" max="5" width="17.578125" customWidth="1" collapsed="1"/>
    <col min="6" max="6" width="17.578125" customWidth="1" collapsed="1"/>
    <col min="7" max="7" width="17.578125" customWidth="1" collapsed="1"/>
    <col min="8" max="8" width="17.578125" customWidth="1" collapsed="1"/>
    <col min="9" max="9" width="17.578125" customWidth="1" collapsed="1"/>
    <col min="10" max="10" width="17.578125" customWidth="1" collapsed="1"/>
    <col min="11" max="11" width="17.578125" customWidth="1" collapsed="1"/>
  </cols>
  <sheetData>
    <row r="1">
      <c r="A1" s="2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30"/>
    </row>
    <row r="2">
      <c r="A2" s="20"/>
      <c r="B2" s="16"/>
      <c r="C2" s="16"/>
      <c r="D2" s="16"/>
      <c r="E2" s="16"/>
      <c r="F2" s="16"/>
      <c r="G2" s="16"/>
      <c r="H2" s="16"/>
      <c r="I2" s="16"/>
      <c r="J2" s="16"/>
      <c r="K2" s="24"/>
    </row>
    <row r="3" ht="6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>
      <c r="A4" s="3" t="s">
        <v>12</v>
      </c>
      <c r="B4" s="3" t="s">
        <v>13</v>
      </c>
      <c r="C4" s="8">
        <v>65</v>
      </c>
      <c r="D4" s="8">
        <v>31694</v>
      </c>
      <c r="E4" s="8">
        <v>31549</v>
      </c>
      <c r="F4" s="8">
        <v>339</v>
      </c>
      <c r="G4" s="8">
        <v>145</v>
      </c>
      <c r="H4" s="13">
        <f>(F4+G4)/D4</f>
        <v/>
      </c>
      <c r="I4" s="8">
        <v>238246</v>
      </c>
      <c r="J4" s="8">
        <v>27812</v>
      </c>
      <c r="K4" s="8">
        <v>30866</v>
      </c>
    </row>
    <row r="5">
      <c r="A5" s="3" t="s">
        <v>12</v>
      </c>
      <c r="B5" s="3" t="s">
        <v>14</v>
      </c>
      <c r="C5" s="8">
        <v>15</v>
      </c>
      <c r="D5" s="8">
        <v>16523</v>
      </c>
      <c r="E5" s="8">
        <v>16399</v>
      </c>
      <c r="F5" s="8">
        <v>193</v>
      </c>
      <c r="G5" s="8">
        <v>124</v>
      </c>
      <c r="H5" s="13">
        <f>(F5+G5)/D5</f>
        <v/>
      </c>
      <c r="I5" s="8">
        <v>85549</v>
      </c>
      <c r="J5" s="8">
        <v>16021</v>
      </c>
      <c r="K5" s="8">
        <v>16523</v>
      </c>
    </row>
    <row r="6">
      <c r="A6" s="3" t="s">
        <v>12</v>
      </c>
      <c r="B6" s="3" t="s">
        <v>15</v>
      </c>
      <c r="C6" s="8">
        <v>1</v>
      </c>
      <c r="D6" s="8">
        <v>4873</v>
      </c>
      <c r="E6" s="8">
        <v>4873</v>
      </c>
      <c r="F6" s="8">
        <v>45</v>
      </c>
      <c r="G6" s="8">
        <v>0</v>
      </c>
      <c r="H6" s="13">
        <f>(F6+G6)/D6</f>
        <v/>
      </c>
      <c r="I6" s="8">
        <v>8404</v>
      </c>
      <c r="J6" s="8">
        <v>4873</v>
      </c>
      <c r="K6" s="8">
        <v>4873</v>
      </c>
    </row>
    <row r="7">
      <c r="A7" s="3" t="s">
        <v>12</v>
      </c>
      <c r="B7" s="3" t="s">
        <v>16</v>
      </c>
      <c r="C7" s="8">
        <v>1</v>
      </c>
      <c r="D7" s="8">
        <v>525</v>
      </c>
      <c r="E7" s="8">
        <v>525</v>
      </c>
      <c r="F7" s="8">
        <v>4</v>
      </c>
      <c r="G7" s="8">
        <v>0</v>
      </c>
      <c r="H7" s="13">
        <f>(F7+G7)/D7</f>
        <v/>
      </c>
      <c r="I7" s="8">
        <v>7287</v>
      </c>
      <c r="J7" s="8">
        <v>518</v>
      </c>
      <c r="K7" s="8">
        <v>525</v>
      </c>
    </row>
    <row r="8">
      <c r="A8" s="3" t="s">
        <v>12</v>
      </c>
      <c r="B8" s="3" t="s">
        <v>17</v>
      </c>
      <c r="C8" s="8">
        <v>48</v>
      </c>
      <c r="D8" s="8">
        <v>9773</v>
      </c>
      <c r="E8" s="8">
        <v>9752</v>
      </c>
      <c r="F8" s="8">
        <v>97</v>
      </c>
      <c r="G8" s="8">
        <v>21</v>
      </c>
      <c r="H8" s="13">
        <f>(F8+G8)/D8</f>
        <v/>
      </c>
      <c r="I8" s="8">
        <v>137008</v>
      </c>
      <c r="J8" s="8">
        <v>6400</v>
      </c>
      <c r="K8" s="8">
        <v>8945</v>
      </c>
    </row>
  </sheetData>
  <mergeCells>
    <mergeCell ref="A1:K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2026-03-18T14:50:11Z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