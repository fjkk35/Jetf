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日倉儲營收" sheetId="1" r:id="rId3"/>
    <sheet name="20260315海快營收日統計表(未稅)" sheetId="2" r:id="rId4"/>
    <sheet name="20260315空快營收日統計表(未稅)" sheetId="3" r:id="rId5"/>
  </sheets>
</workbook>
</file>

<file path=xl/sharedStrings.xml><?xml version="1.0" encoding="utf-8"?>
<sst xmlns="http://schemas.openxmlformats.org/spreadsheetml/2006/main" count="223" uniqueCount="64">
  <si>
    <t xml:space="preserve">20260315海空快日倉儲營收報表(未稅)</t>
  </si>
  <si>
    <t xml:space="preserve">分類</t>
  </si>
  <si>
    <t xml:space="preserve">倉儲</t>
  </si>
  <si>
    <t xml:space="preserve">當日(20260315)</t>
  </si>
  <si>
    <t xml:space="preserve">累計(20260301－20260315)</t>
  </si>
  <si>
    <t xml:space="preserve">清關收入</t>
  </si>
  <si>
    <t xml:space="preserve">手續費</t>
  </si>
  <si>
    <t xml:space="preserve">包稅稅金差額收入</t>
  </si>
  <si>
    <t xml:space="preserve">營收小計</t>
  </si>
  <si>
    <t xml:space="preserve">重量</t>
  </si>
  <si>
    <t xml:space="preserve">袋數</t>
  </si>
  <si>
    <t xml:space="preserve">筆數</t>
  </si>
  <si>
    <t xml:space="preserve">應收關稅</t>
  </si>
  <si>
    <t xml:space="preserve">應付稅金</t>
  </si>
  <si>
    <t xml:space="preserve">差額</t>
  </si>
  <si>
    <t xml:space="preserve">進口空快      </t>
  </si>
  <si>
    <t xml:space="preserve">小計</t>
  </si>
  <si>
    <t xml:space="preserve">進口海快      </t>
  </si>
  <si>
    <t xml:space="preserve"/>
  </si>
  <si>
    <t xml:space="preserve">合計</t>
  </si>
  <si>
    <t xml:space="preserve">FTZ</t>
  </si>
  <si>
    <t xml:space="preserve">tact</t>
  </si>
  <si>
    <t xml:space="preserve">chwn</t>
  </si>
  <si>
    <t xml:space="preserve">jfkh</t>
  </si>
  <si>
    <t xml:space="preserve">jfkl</t>
  </si>
  <si>
    <t xml:space="preserve">tpct</t>
  </si>
  <si>
    <t xml:space="preserve">20260315海快營收日統計表(未稅)</t>
  </si>
  <si>
    <t xml:space="preserve">客戶</t>
  </si>
  <si>
    <t xml:space="preserve">台星</t>
  </si>
  <si>
    <t xml:space="preserve">金祥富(海絲拼多多)</t>
  </si>
  <si>
    <t xml:space="preserve">深圳超峰</t>
  </si>
  <si>
    <t xml:space="preserve">菜鳥網絡(自營海絲達)</t>
  </si>
  <si>
    <t xml:space="preserve">RINCOS海快</t>
  </si>
  <si>
    <t xml:space="preserve">巧巧郎</t>
  </si>
  <si>
    <t xml:space="preserve">捷利</t>
  </si>
  <si>
    <t xml:space="preserve">超峰</t>
  </si>
  <si>
    <t xml:space="preserve">新遞</t>
  </si>
  <si>
    <t xml:space="preserve">20260315空快營收日統計表(未稅)</t>
  </si>
  <si>
    <t xml:space="preserve">ECMS(日本)</t>
  </si>
  <si>
    <t xml:space="preserve">Jumppoint</t>
  </si>
  <si>
    <t xml:space="preserve">Momo富邦</t>
  </si>
  <si>
    <t xml:space="preserve">Rincos</t>
  </si>
  <si>
    <t xml:space="preserve">UF</t>
  </si>
  <si>
    <t xml:space="preserve">中國蝦皮(HVF)</t>
  </si>
  <si>
    <t xml:space="preserve">中國蝦皮(JIELI)</t>
  </si>
  <si>
    <t xml:space="preserve">中國蝦皮(MCT)</t>
  </si>
  <si>
    <t xml:space="preserve">中國蝦皮(Vinflair)</t>
  </si>
  <si>
    <t xml:space="preserve">中國蝦皮(友通達)</t>
  </si>
  <si>
    <t xml:space="preserve">中國蝦皮(棋洋)</t>
  </si>
  <si>
    <t xml:space="preserve">日本佐川</t>
  </si>
  <si>
    <t xml:space="preserve">日本蝦皮</t>
  </si>
  <si>
    <t xml:space="preserve">東南亞蝦皮(印尼)</t>
  </si>
  <si>
    <t xml:space="preserve">東南亞蝦皮(越南)</t>
  </si>
  <si>
    <t xml:space="preserve">飛鳥集運</t>
  </si>
  <si>
    <t xml:space="preserve">菜鳥</t>
  </si>
  <si>
    <t xml:space="preserve">萬達華南</t>
  </si>
  <si>
    <t xml:space="preserve">禎濠</t>
  </si>
  <si>
    <t xml:space="preserve">廣東捷利</t>
  </si>
  <si>
    <t xml:space="preserve">韓國蝦皮</t>
  </si>
  <si>
    <t xml:space="preserve">coupang(HK)</t>
  </si>
  <si>
    <t xml:space="preserve">coupang(JP)</t>
  </si>
  <si>
    <t xml:space="preserve">coupang(KR)</t>
  </si>
  <si>
    <t xml:space="preserve">coupang(US)</t>
  </si>
  <si>
    <t xml:space="preserve">昇達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</si>
</sst>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%"/>
  </numFmts>
  <fonts count="7">
    <font>
      <sz val="11"/>
      <color indexed="8"/>
      <name val="Calibri"/>
      <family val="2"/>
      <scheme val="minor"/>
    </font>
    <font>
      <sz val="18"/>
      <color indexed="12"/>
      <name val="微軟正黑體"/>
    </font>
    <font>
      <sz val="18"/>
      <name val="微軟正黑體"/>
    </font>
    <font>
      <sz val="18"/>
      <color indexed="12"/>
      <name val="微軟正黑體"/>
    </font>
    <font>
      <sz val="18"/>
      <name val="微軟正黑體"/>
    </font>
    <font>
      <sz val="18"/>
      <color indexed="12"/>
      <name val="微軟正黑體"/>
    </font>
    <font>
      <sz val="18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5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ck"/>
      <bottom/>
      <diagonal/>
    </border>
    <border>
      <left/>
      <right/>
      <top style="thick"/>
      <bottom style="thick"/>
      <diagonal/>
    </border>
    <border>
      <left style="thick"/>
      <right/>
      <top style="thick"/>
      <bottom style="thick"/>
      <diagonal/>
    </border>
    <border>
      <left style="thick"/>
      <right style="thick"/>
      <top style="thick"/>
      <bottom style="thick"/>
      <diagonal/>
    </border>
    <border>
      <left/>
      <right/>
      <top/>
      <bottom style="thin"/>
      <diagonal/>
    </border>
    <border>
      <right/>
      <top/>
      <bottom style="thin"/>
      <diagonal/>
    </border>
    <border>
      <top/>
      <bottom style="thin"/>
      <diagonal/>
    </border>
    <border>
      <bottom style="thin"/>
      <diagonal/>
    </border>
    <border>
      <bottom style="thin">
        <color indexed="8"/>
      </bottom>
      <diagonal/>
    </border>
    <border>
      <left>
        <color indexed="8"/>
      </left>
      <bottom style="thin">
        <color indexed="8"/>
      </bottom>
      <diagonal/>
    </border>
    <border>
      <left>
        <color indexed="8"/>
      </left>
      <right>
        <color indexed="8"/>
      </right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/>
      <right/>
      <top/>
      <diagonal/>
    </border>
    <border>
      <left style="thin"/>
      <right/>
      <top/>
      <diagonal/>
    </border>
    <border>
      <left style="thin"/>
      <top/>
      <diagonal/>
    </border>
    <border>
      <left style="thin"/>
      <diagonal/>
    </border>
    <border>
      <left style="thin"/>
      <bottom>
        <color indexed="8"/>
      </bottom>
      <diagonal/>
    </border>
    <border>
      <left style="thin">
        <color indexed="8"/>
      </left>
      <bottom>
        <color indexed="8"/>
      </bottom>
      <diagonal/>
    </border>
    <border>
      <left style="thin">
        <color indexed="8"/>
      </left>
      <right>
        <color indexed="8"/>
      </right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top>
        <color indexed="8"/>
      </top>
      <bottom style="thin">
        <color indexed="8"/>
      </bottom>
      <diagonal/>
    </border>
    <border>
      <left style="thin">
        <color indexed="8"/>
      </left>
      <bottom style="thin">
        <color indexed="8"/>
      </bottom>
      <diagonal/>
    </border>
    <border>
      <left style="thin">
        <color indexed="8"/>
      </left>
      <right>
        <color indexed="8"/>
      </right>
      <bottom style="thin">
        <color indexed="8"/>
      </bottom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diagonal/>
    </border>
    <border>
      <left style="thin">
        <color indexed="8"/>
      </left>
      <top>
        <color indexed="8"/>
      </top>
      <diagonal/>
    </border>
    <border>
      <left style="thin">
        <color indexed="8"/>
      </left>
      <top style="thin">
        <color indexed="8"/>
      </top>
      <diagonal/>
    </border>
    <border>
      <left style="thin">
        <color indexed="8"/>
      </left>
      <top style="thin"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diagonal/>
    </border>
    <border>
      <right style="thin">
        <color indexed="8"/>
      </right>
      <top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</borders>
  <cellStyleXfs count="1">
    <xf numFmtId="0" fontId="0" fillId="0" borderId="0" xfId="0"/>
  </cellStyleXfs>
  <cellXfs count="59">
    <xf numFmtId="0" fontId="0" fillId="0" borderId="0" xfId="0"/>
    <xf numFmtId="0" fontId="2" fillId="0" borderId="4" xfId="0" applyFont="1" applyBorder="1">
      <alignment horizontal="center" vertical="center"/>
    </xf>
    <xf numFmtId="0" fontId="2" fillId="0" borderId="4" xfId="0" applyFont="1" applyBorder="1">
      <alignment horizontal="left" vertical="center"/>
    </xf>
    <xf numFmtId="0" fontId="2" fillId="0" borderId="4" xfId="0" applyFont="1" applyBorder="1">
      <alignment horizontal="center" vertical="center" wrapText="1"/>
    </xf>
    <xf numFmtId="0" fontId="2" fillId="0" borderId="4" xfId="0" applyFont="1" applyBorder="1">
      <alignment horizontal="left" vertical="center" wrapText="1"/>
    </xf>
    <xf numFmtId="0" fontId="2" fillId="0" borderId="8" xfId="0" applyFont="1" applyBorder="1">
      <alignment horizontal="center" vertical="center" wrapText="1"/>
    </xf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3" fontId="2" fillId="0" borderId="4" xfId="0" applyNumberFormat="1" applyFont="1" applyBorder="1"/>
    <xf numFmtId="3" fontId="2" fillId="0" borderId="8" xfId="0" applyNumberFormat="1" applyFont="1" applyBorder="1"/>
    <xf numFmtId="3" fontId="1" fillId="0" borderId="4" xfId="0" applyNumberFormat="1" applyFont="1" applyBorder="1"/>
    <xf numFmtId="3" fontId="1" fillId="0" borderId="8" xfId="0" applyNumberFormat="1" applyFont="1" applyBorder="1"/>
    <xf numFmtId="164" fontId="2" fillId="0" borderId="4" xfId="0" applyNumberFormat="1" applyFont="1" applyBorder="1"/>
    <xf numFmtId="10" fontId="2" fillId="0" borderId="4" xfId="0" applyNumberFormat="1" applyFont="1" applyBorder="1"/>
    <xf numFmtId="165" fontId="2" fillId="0" borderId="4" xfId="0" applyNumberFormat="1" applyFont="1" applyBorder="1"/>
    <xf numFmtId="0" fontId="0" fillId="0" borderId="0" xfId="0"/>
    <xf numFmtId="0" fontId="0" fillId="3" borderId="16" xfId="0" applyNumberFormat="1" applyFont="1" applyFill="1" applyBorder="1">
      <alignment/>
      <protection locked="1"/>
    </xf>
    <xf numFmtId="0" fontId="0" fillId="0" borderId="0" xfId="0"/>
    <xf numFmtId="0" fontId="0" fillId="3" borderId="24" xfId="0" applyNumberFormat="1" applyFont="1" applyFill="1" applyBorder="1">
      <alignment/>
      <protection locked="1"/>
    </xf>
    <xf numFmtId="0" fontId="0" fillId="0" borderId="0" xfId="0"/>
    <xf numFmtId="0" fontId="0" fillId="3" borderId="25" xfId="0" applyNumberFormat="1" applyFont="1" applyFill="1" applyBorder="1">
      <alignment/>
      <protection locked="1"/>
    </xf>
    <xf numFmtId="0" fontId="0" fillId="0" borderId="0" xfId="0"/>
    <xf numFmtId="0" fontId="0" fillId="3" borderId="35" xfId="0" applyNumberFormat="1" applyFont="1" applyFill="1" applyBorder="1">
      <alignment/>
      <protection locked="1"/>
    </xf>
    <xf numFmtId="0" fontId="0" fillId="0" borderId="0" xfId="0"/>
    <xf numFmtId="0" fontId="0" fillId="3" borderId="40" xfId="0" applyNumberFormat="1" applyFont="1" applyFill="1" applyBorder="1">
      <alignment/>
      <protection locked="1"/>
    </xf>
    <xf numFmtId="0" fontId="0" fillId="0" borderId="0" xfId="0"/>
    <xf numFmtId="0" fontId="0" fillId="3" borderId="45" xfId="0" applyNumberFormat="1" applyFont="1" applyFill="1" applyBorder="1">
      <alignment/>
      <protection locked="1"/>
    </xf>
    <xf numFmtId="0" fontId="0" fillId="0" borderId="0" xfId="0"/>
    <xf numFmtId="0" fontId="0" fillId="3" borderId="51" xfId="0" applyNumberFormat="1" applyFont="1" applyFill="1" applyBorder="1">
      <alignment/>
      <protection locked="1"/>
    </xf>
    <xf numFmtId="0" fontId="0" fillId="0" borderId="0" xfId="0"/>
    <xf numFmtId="0" fontId="0" fillId="3" borderId="56" xfId="0" applyNumberFormat="1" applyFont="1" applyFill="1" applyBorder="1">
      <alignment/>
      <protection locked="1"/>
    </xf>
    <xf numFmtId="0" fontId="4" fillId="0" borderId="4" xfId="0" applyFont="1" applyBorder="1">
      <alignment horizontal="center" vertical="center"/>
    </xf>
    <xf numFmtId="0" fontId="4" fillId="0" borderId="4" xfId="0" applyFont="1" applyBorder="1">
      <alignment horizontal="left" vertical="center"/>
    </xf>
    <xf numFmtId="0" fontId="4" fillId="0" borderId="4" xfId="0" applyFont="1" applyBorder="1">
      <alignment horizontal="center" vertical="center" wrapText="1"/>
    </xf>
    <xf numFmtId="0" fontId="4" fillId="0" borderId="4" xfId="0" applyFont="1" applyBorder="1">
      <alignment horizontal="left" vertical="center" wrapText="1"/>
    </xf>
    <xf numFmtId="0" fontId="4" fillId="0" borderId="8" xfId="0" applyFont="1" applyBorder="1">
      <alignment horizontal="center" vertical="center" wrapText="1"/>
    </xf>
    <xf numFmtId="0" fontId="3" fillId="0" borderId="4" xfId="0" applyFont="1" applyBorder="1">
      <alignment horizontal="center" vertical="center"/>
    </xf>
    <xf numFmtId="0" fontId="3" fillId="0" borderId="8" xfId="0" applyFont="1" applyBorder="1">
      <alignment horizontal="center" vertical="center"/>
    </xf>
    <xf numFmtId="3" fontId="4" fillId="0" borderId="4" xfId="0" applyNumberFormat="1" applyFont="1" applyBorder="1"/>
    <xf numFmtId="3" fontId="4" fillId="0" borderId="8" xfId="0" applyNumberFormat="1" applyFont="1" applyBorder="1"/>
    <xf numFmtId="3" fontId="3" fillId="0" borderId="4" xfId="0" applyNumberFormat="1" applyFont="1" applyBorder="1"/>
    <xf numFmtId="3" fontId="3" fillId="0" borderId="8" xfId="0" applyNumberFormat="1" applyFont="1" applyBorder="1"/>
    <xf numFmtId="164" fontId="4" fillId="0" borderId="4" xfId="0" applyNumberFormat="1" applyFont="1" applyBorder="1"/>
    <xf numFmtId="10" fontId="4" fillId="0" borderId="4" xfId="0" applyNumberFormat="1" applyFont="1" applyBorder="1"/>
    <xf numFmtId="165" fontId="4" fillId="0" borderId="4" xfId="0" applyNumberFormat="1" applyFont="1" applyBorder="1"/>
    <xf numFmtId="0" fontId="6" fillId="0" borderId="4" xfId="0" applyFont="1" applyBorder="1">
      <alignment horizontal="center" vertical="center"/>
    </xf>
    <xf numFmtId="0" fontId="6" fillId="0" borderId="4" xfId="0" applyFont="1" applyBorder="1">
      <alignment horizontal="left" vertical="center"/>
    </xf>
    <xf numFmtId="0" fontId="6" fillId="0" borderId="4" xfId="0" applyFont="1" applyBorder="1">
      <alignment horizontal="center" vertical="center" wrapText="1"/>
    </xf>
    <xf numFmtId="0" fontId="6" fillId="0" borderId="4" xfId="0" applyFont="1" applyBorder="1">
      <alignment horizontal="left" vertical="center" wrapText="1"/>
    </xf>
    <xf numFmtId="0" fontId="6" fillId="0" borderId="8" xfId="0" applyFont="1" applyBorder="1">
      <alignment horizontal="center" vertical="center" wrapText="1"/>
    </xf>
    <xf numFmtId="0" fontId="5" fillId="0" borderId="4" xfId="0" applyFont="1" applyBorder="1">
      <alignment horizontal="center" vertical="center"/>
    </xf>
    <xf numFmtId="0" fontId="5" fillId="0" borderId="8" xfId="0" applyFont="1" applyBorder="1">
      <alignment horizontal="center" vertical="center"/>
    </xf>
    <xf numFmtId="3" fontId="6" fillId="0" borderId="4" xfId="0" applyNumberFormat="1" applyFont="1" applyBorder="1"/>
    <xf numFmtId="3" fontId="6" fillId="0" borderId="8" xfId="0" applyNumberFormat="1" applyFont="1" applyBorder="1"/>
    <xf numFmtId="3" fontId="5" fillId="0" borderId="4" xfId="0" applyNumberFormat="1" applyFont="1" applyBorder="1"/>
    <xf numFmtId="3" fontId="5" fillId="0" borderId="8" xfId="0" applyNumberFormat="1" applyFont="1" applyBorder="1"/>
    <xf numFmtId="164" fontId="6" fillId="0" borderId="4" xfId="0" applyNumberFormat="1" applyFont="1" applyBorder="1"/>
    <xf numFmtId="10" fontId="6" fillId="0" borderId="4" xfId="0" applyNumberFormat="1" applyFont="1" applyBorder="1"/>
    <xf numFmtId="165" fontId="6" fillId="0" borderId="4" xfId="0" applyNumberFormat="1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30" customHeight="1"/>
  <cols>
    <col min="1" max="1" width="21.484375" customWidth="1" collapsed="1"/>
    <col min="2" max="2" width="13.671875" customWidth="1" collapsed="1"/>
    <col min="3" max="3" width="21.484375" customWidth="1" collapsed="1"/>
    <col min="4" max="4" width="17.578125" customWidth="1" collapsed="1"/>
    <col min="5" max="5" width="17.578125" customWidth="1" collapsed="1"/>
    <col min="6" max="6" width="17.578125" customWidth="1" collapsed="1"/>
    <col min="7" max="7" width="17.578125" customWidth="1" collapsed="1"/>
    <col min="8" max="8" width="19.53125" customWidth="1" collapsed="1"/>
    <col min="9" max="9" width="17.578125" customWidth="1" collapsed="1"/>
    <col min="10" max="10" width="17.578125" customWidth="1" collapsed="1"/>
    <col min="11" max="11" width="17.578125" customWidth="1" collapsed="1"/>
    <col min="12" max="12" width="21.484375" customWidth="1" collapsed="1"/>
    <col min="13" max="13" width="17.578125" customWidth="1" collapsed="1"/>
    <col min="14" max="14" width="17.578125" customWidth="1" collapsed="1"/>
    <col min="15" max="15" width="17.578125" customWidth="1" collapsed="1"/>
    <col min="16" max="16" width="17.578125" customWidth="1" collapsed="1"/>
    <col min="17" max="17" width="19.53125" customWidth="1" collapsed="1"/>
    <col min="18" max="18" width="17.578125" customWidth="1" collapsed="1"/>
    <col min="19" max="19" width="17.578125" customWidth="1" collapsed="1"/>
    <col min="20" max="20" width="17.578125" customWidth="1" collapsed="1"/>
  </cols>
  <sheetData>
    <row r="1">
      <c r="A1" s="1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30"/>
    </row>
    <row r="2">
      <c r="A2" s="20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24"/>
    </row>
    <row r="3">
      <c r="A3" s="3" t="s">
        <v>1</v>
      </c>
      <c r="B3" s="3" t="s">
        <v>2</v>
      </c>
      <c r="C3" s="6" t="s">
        <v>3</v>
      </c>
      <c r="F3" s="3"/>
      <c r="G3" s="3"/>
      <c r="L3" s="6" t="s">
        <v>4</v>
      </c>
      <c r="O3" s="3"/>
      <c r="P3" s="3"/>
      <c r="T3" s="3"/>
    </row>
    <row r="4">
      <c r="A4" s="3"/>
      <c r="B4" s="3"/>
      <c r="C4" s="3" t="s">
        <v>5</v>
      </c>
      <c r="D4" s="3" t="s">
        <v>6</v>
      </c>
      <c r="E4" s="3" t="s">
        <v>7</v>
      </c>
      <c r="H4" s="6" t="s">
        <v>8</v>
      </c>
      <c r="I4" s="3" t="s">
        <v>9</v>
      </c>
      <c r="J4" s="3" t="s">
        <v>10</v>
      </c>
      <c r="K4" s="3" t="s">
        <v>11</v>
      </c>
      <c r="L4" s="3" t="s">
        <v>5</v>
      </c>
      <c r="M4" s="3" t="s">
        <v>6</v>
      </c>
      <c r="N4" s="3" t="s">
        <v>7</v>
      </c>
      <c r="Q4" s="6" t="s">
        <v>8</v>
      </c>
      <c r="R4" s="3" t="s">
        <v>9</v>
      </c>
      <c r="S4" s="3" t="s">
        <v>10</v>
      </c>
      <c r="T4" s="3" t="s">
        <v>11</v>
      </c>
    </row>
    <row r="5">
      <c r="A5" s="3"/>
      <c r="B5" s="3"/>
      <c r="D5" s="3"/>
      <c r="E5" s="3" t="s">
        <v>12</v>
      </c>
      <c r="F5" s="3" t="s">
        <v>13</v>
      </c>
      <c r="G5" s="3" t="s">
        <v>14</v>
      </c>
      <c r="H5" s="3"/>
      <c r="I5" s="3"/>
      <c r="J5" s="3"/>
      <c r="K5" s="3"/>
      <c r="L5" s="3"/>
      <c r="M5" s="3"/>
      <c r="N5" s="3" t="s">
        <v>12</v>
      </c>
      <c r="O5" s="3" t="s">
        <v>13</v>
      </c>
      <c r="P5" s="3" t="s">
        <v>14</v>
      </c>
      <c r="Q5" s="3"/>
      <c r="R5" s="3"/>
      <c r="S5" s="3"/>
      <c r="T5" s="3"/>
    </row>
    <row r="6">
      <c r="A6" s="3" t="s">
        <v>15</v>
      </c>
      <c r="B6" s="3" t="s">
        <v>16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0">
        <v>0</v>
      </c>
      <c r="I6" s="8">
        <v>0</v>
      </c>
      <c r="J6" s="8">
        <v>0</v>
      </c>
      <c r="K6" s="8">
        <v>0</v>
      </c>
      <c r="L6" s="8">
        <v>8847657</v>
      </c>
      <c r="M6" s="8">
        <v>428217</v>
      </c>
      <c r="N6" s="8">
        <v>0</v>
      </c>
      <c r="O6" s="8">
        <v>0</v>
      </c>
      <c r="P6" s="8">
        <v>0</v>
      </c>
      <c r="Q6" s="10">
        <v>9275874</v>
      </c>
      <c r="R6" s="8">
        <v>947958</v>
      </c>
      <c r="S6" s="8">
        <v>202408</v>
      </c>
      <c r="T6" s="8">
        <v>651800</v>
      </c>
    </row>
    <row r="7">
      <c r="A7" s="3" t="s">
        <v>17</v>
      </c>
      <c r="B7" s="3" t="s">
        <v>16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0">
        <v>0</v>
      </c>
      <c r="I7" s="8">
        <v>0</v>
      </c>
      <c r="J7" s="8">
        <v>0</v>
      </c>
      <c r="K7" s="8">
        <v>0</v>
      </c>
      <c r="L7" s="8">
        <v>15665857</v>
      </c>
      <c r="M7" s="8">
        <v>1180841</v>
      </c>
      <c r="N7" s="8">
        <v>165414</v>
      </c>
      <c r="O7" s="8">
        <v>129169</v>
      </c>
      <c r="P7" s="8">
        <v>36245</v>
      </c>
      <c r="Q7" s="10">
        <v>16882943</v>
      </c>
      <c r="R7" s="8">
        <v>1585187</v>
      </c>
      <c r="S7" s="8">
        <v>260427</v>
      </c>
      <c r="T7" s="8">
        <v>279824</v>
      </c>
    </row>
    <row r="8">
      <c r="A8" s="6" t="s">
        <v>18</v>
      </c>
      <c r="B8" s="6" t="s">
        <v>19</v>
      </c>
      <c r="C8" s="10">
        <f>SUM(C6:C7)</f>
        <v/>
      </c>
      <c r="D8" s="10">
        <f>SUM(D6:D7)</f>
        <v/>
      </c>
      <c r="E8" s="10">
        <f>SUM(E6:E7)</f>
        <v/>
      </c>
      <c r="F8" s="10">
        <f>SUM(F6:F7)</f>
        <v/>
      </c>
      <c r="G8" s="10">
        <f>SUM(G6:G7)</f>
        <v/>
      </c>
      <c r="H8" s="10">
        <f>SUM(H6:H7)</f>
        <v/>
      </c>
      <c r="I8" s="10">
        <f>SUM(I6:I7)</f>
        <v/>
      </c>
      <c r="J8" s="10">
        <f>SUM(J6:J7)</f>
        <v/>
      </c>
      <c r="K8" s="10">
        <f>SUM(K6:K7)</f>
        <v/>
      </c>
      <c r="L8" s="10">
        <f>SUM(L6:L7)</f>
        <v/>
      </c>
      <c r="M8" s="10">
        <f>SUM(M6:M7)</f>
        <v/>
      </c>
      <c r="N8" s="10">
        <f>SUM(N6:N7)</f>
        <v/>
      </c>
      <c r="O8" s="10">
        <f>SUM(O6:O7)</f>
        <v/>
      </c>
      <c r="P8" s="10">
        <f>SUM(P6:P7)</f>
        <v/>
      </c>
      <c r="Q8" s="10">
        <f>SUM(Q6:Q7)</f>
        <v/>
      </c>
      <c r="R8" s="10">
        <f>SUM(R6:R7)</f>
        <v/>
      </c>
      <c r="S8" s="10">
        <f>SUM(S6:S7)</f>
        <v/>
      </c>
      <c r="T8" s="10">
        <f>SUM(T6:T7)</f>
        <v/>
      </c>
    </row>
    <row r="9">
      <c r="A9" s="3" t="s">
        <v>15</v>
      </c>
      <c r="B9" s="3" t="s">
        <v>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0">
        <v>0</v>
      </c>
      <c r="I9" s="8">
        <v>0</v>
      </c>
      <c r="J9" s="8">
        <v>0</v>
      </c>
      <c r="K9" s="8">
        <v>0</v>
      </c>
      <c r="L9" s="8">
        <v>3955508</v>
      </c>
      <c r="M9" s="8">
        <v>428217</v>
      </c>
      <c r="N9" s="8">
        <v>0</v>
      </c>
      <c r="O9" s="8">
        <v>0</v>
      </c>
      <c r="P9" s="8">
        <v>0</v>
      </c>
      <c r="Q9" s="10">
        <v>4383725</v>
      </c>
      <c r="R9" s="8">
        <v>459427</v>
      </c>
      <c r="S9" s="8">
        <v>125723</v>
      </c>
      <c r="T9" s="8">
        <v>568676</v>
      </c>
    </row>
    <row r="10">
      <c r="A10" s="3" t="s">
        <v>15</v>
      </c>
      <c r="B10" s="3" t="s">
        <v>21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0">
        <v>0</v>
      </c>
      <c r="I10" s="8">
        <v>0</v>
      </c>
      <c r="J10" s="8">
        <v>0</v>
      </c>
      <c r="K10" s="8">
        <v>0</v>
      </c>
      <c r="L10" s="8">
        <v>4892149</v>
      </c>
      <c r="M10" s="8">
        <v>0</v>
      </c>
      <c r="N10" s="8">
        <v>0</v>
      </c>
      <c r="O10" s="8">
        <v>0</v>
      </c>
      <c r="P10" s="8">
        <v>0</v>
      </c>
      <c r="Q10" s="10">
        <v>4892149</v>
      </c>
      <c r="R10" s="8">
        <v>488531</v>
      </c>
      <c r="S10" s="8">
        <v>76685</v>
      </c>
      <c r="T10" s="8">
        <v>83124</v>
      </c>
    </row>
    <row r="11">
      <c r="A11" s="3" t="s">
        <v>17</v>
      </c>
      <c r="B11" s="3" t="s">
        <v>22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0">
        <v>0</v>
      </c>
      <c r="I11" s="8">
        <v>0</v>
      </c>
      <c r="J11" s="8">
        <v>0</v>
      </c>
      <c r="K11" s="8">
        <v>0</v>
      </c>
      <c r="L11" s="8">
        <v>5970982</v>
      </c>
      <c r="M11" s="8">
        <v>944861</v>
      </c>
      <c r="N11" s="8">
        <v>0</v>
      </c>
      <c r="O11" s="8">
        <v>0</v>
      </c>
      <c r="P11" s="8">
        <v>0</v>
      </c>
      <c r="Q11" s="10">
        <v>6915843</v>
      </c>
      <c r="R11" s="8">
        <v>609089</v>
      </c>
      <c r="S11" s="8">
        <v>144744</v>
      </c>
      <c r="T11" s="8">
        <v>150576</v>
      </c>
    </row>
    <row r="12">
      <c r="A12" s="3" t="s">
        <v>17</v>
      </c>
      <c r="B12" s="3" t="s">
        <v>23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10">
        <v>0</v>
      </c>
      <c r="I12" s="8">
        <v>0</v>
      </c>
      <c r="J12" s="8">
        <v>0</v>
      </c>
      <c r="K12" s="8">
        <v>0</v>
      </c>
      <c r="L12" s="8">
        <v>1166951</v>
      </c>
      <c r="M12" s="8">
        <v>18774</v>
      </c>
      <c r="N12" s="8">
        <v>0</v>
      </c>
      <c r="O12" s="8">
        <v>0</v>
      </c>
      <c r="P12" s="8">
        <v>0</v>
      </c>
      <c r="Q12" s="10">
        <v>1185725</v>
      </c>
      <c r="R12" s="8">
        <v>116695</v>
      </c>
      <c r="S12" s="8">
        <v>69935</v>
      </c>
      <c r="T12" s="8">
        <v>70046</v>
      </c>
    </row>
    <row r="13">
      <c r="A13" s="3" t="s">
        <v>17</v>
      </c>
      <c r="B13" s="3" t="s">
        <v>24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10">
        <v>0</v>
      </c>
      <c r="I13" s="8">
        <v>0</v>
      </c>
      <c r="J13" s="8">
        <v>0</v>
      </c>
      <c r="K13" s="8">
        <v>0</v>
      </c>
      <c r="L13" s="8">
        <v>148037</v>
      </c>
      <c r="M13" s="8">
        <v>11344</v>
      </c>
      <c r="N13" s="8">
        <v>0</v>
      </c>
      <c r="O13" s="8">
        <v>0</v>
      </c>
      <c r="P13" s="8">
        <v>0</v>
      </c>
      <c r="Q13" s="10">
        <v>159381</v>
      </c>
      <c r="R13" s="8">
        <v>14804</v>
      </c>
      <c r="S13" s="8">
        <v>1115</v>
      </c>
      <c r="T13" s="8">
        <v>1157</v>
      </c>
    </row>
    <row r="14">
      <c r="A14" s="3" t="s">
        <v>17</v>
      </c>
      <c r="B14" s="3" t="s">
        <v>25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10">
        <v>0</v>
      </c>
      <c r="I14" s="8">
        <v>0</v>
      </c>
      <c r="J14" s="8">
        <v>0</v>
      </c>
      <c r="K14" s="8">
        <v>0</v>
      </c>
      <c r="L14" s="8">
        <v>8379887</v>
      </c>
      <c r="M14" s="8">
        <v>205862</v>
      </c>
      <c r="N14" s="8">
        <v>165414</v>
      </c>
      <c r="O14" s="8">
        <v>129169</v>
      </c>
      <c r="P14" s="8">
        <v>36245</v>
      </c>
      <c r="Q14" s="10">
        <v>8621994</v>
      </c>
      <c r="R14" s="8">
        <v>844601</v>
      </c>
      <c r="S14" s="8">
        <v>44633</v>
      </c>
      <c r="T14" s="8">
        <v>58045</v>
      </c>
    </row>
  </sheetData>
  <mergeCells>
    <mergeCell ref="A1:T2"/>
    <mergeCell ref="A3:A5"/>
    <mergeCell ref="B3:B5"/>
    <mergeCell ref="C3:K3"/>
    <mergeCell ref="L3:T3"/>
    <mergeCell ref="C4:C5"/>
    <mergeCell ref="D4:D5"/>
    <mergeCell ref="E4:G4"/>
    <mergeCell ref="H4:H5"/>
    <mergeCell ref="I4:I5"/>
    <mergeCell ref="J4:J5"/>
    <mergeCell ref="K4:K5"/>
    <mergeCell ref="L4:L5"/>
    <mergeCell ref="M4:M5"/>
    <mergeCell ref="N4:P4"/>
    <mergeCell ref="Q4:Q5"/>
    <mergeCell ref="R4:R5"/>
    <mergeCell ref="S4:S5"/>
    <mergeCell ref="T4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30" customHeight="1"/>
  <cols>
    <col min="1" max="1" width="21.484375" customWidth="1" collapsed="1"/>
    <col min="2" max="2" width="13.671875" customWidth="1" collapsed="1"/>
    <col min="3" max="3" width="42.96875" customWidth="1" collapsed="1"/>
    <col min="4" max="4" width="17.578125" customWidth="1" collapsed="1"/>
    <col min="5" max="5" width="17.578125" customWidth="1" collapsed="1"/>
    <col min="6" max="6" width="17.578125" customWidth="1" collapsed="1"/>
    <col min="7" max="7" width="17.578125" customWidth="1" collapsed="1"/>
    <col min="8" max="8" width="17.578125" customWidth="1" collapsed="1"/>
    <col min="9" max="9" width="17.578125" customWidth="1" collapsed="1"/>
    <col min="10" max="10" width="17.578125" customWidth="1" collapsed="1"/>
    <col min="11" max="11" width="17.578125" customWidth="1" collapsed="1"/>
    <col min="12" max="12" width="17.578125" customWidth="1" collapsed="1"/>
    <col min="13" max="13" width="17.578125" customWidth="1" collapsed="1"/>
    <col min="14" max="14" width="17.578125" customWidth="1" collapsed="1"/>
    <col min="15" max="15" width="17.578125" customWidth="1" collapsed="1"/>
    <col min="16" max="16" width="17.578125" customWidth="1" collapsed="1"/>
    <col min="17" max="17" width="17.578125" customWidth="1" collapsed="1"/>
    <col min="18" max="18" width="19.53125" customWidth="1" collapsed="1"/>
    <col min="19" max="19" width="17.578125" customWidth="1" collapsed="1"/>
    <col min="20" max="20" width="17.578125" customWidth="1" collapsed="1"/>
    <col min="21" max="21" width="17.578125" customWidth="1" collapsed="1"/>
  </cols>
  <sheetData>
    <row r="1">
      <c r="A1" s="31" t="s">
        <v>26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30"/>
    </row>
    <row r="2">
      <c r="A2" s="20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24"/>
    </row>
    <row r="3">
      <c r="A3" s="33" t="s">
        <v>1</v>
      </c>
      <c r="B3" s="33" t="s">
        <v>2</v>
      </c>
      <c r="C3" s="33" t="s">
        <v>27</v>
      </c>
      <c r="D3" s="36" t="s">
        <v>3</v>
      </c>
      <c r="G3" s="33"/>
      <c r="H3" s="33"/>
      <c r="M3" s="36" t="s">
        <v>4</v>
      </c>
      <c r="P3" s="33"/>
      <c r="Q3" s="33"/>
      <c r="U3" s="33"/>
    </row>
    <row r="4">
      <c r="A4" s="33"/>
      <c r="B4" s="33"/>
      <c r="C4" s="33"/>
      <c r="D4" s="33" t="s">
        <v>5</v>
      </c>
      <c r="E4" s="33" t="s">
        <v>6</v>
      </c>
      <c r="F4" s="33" t="s">
        <v>7</v>
      </c>
      <c r="I4" s="36" t="s">
        <v>8</v>
      </c>
      <c r="J4" s="33" t="s">
        <v>9</v>
      </c>
      <c r="K4" s="33" t="s">
        <v>10</v>
      </c>
      <c r="L4" s="33" t="s">
        <v>11</v>
      </c>
      <c r="M4" s="33" t="s">
        <v>5</v>
      </c>
      <c r="N4" s="33" t="s">
        <v>6</v>
      </c>
      <c r="O4" s="33" t="s">
        <v>7</v>
      </c>
      <c r="R4" s="36" t="s">
        <v>8</v>
      </c>
      <c r="S4" s="33" t="s">
        <v>9</v>
      </c>
      <c r="T4" s="33" t="s">
        <v>10</v>
      </c>
      <c r="U4" s="33" t="s">
        <v>11</v>
      </c>
    </row>
    <row r="5">
      <c r="A5" s="33"/>
      <c r="B5" s="33"/>
      <c r="C5" s="33"/>
      <c r="D5" s="33"/>
      <c r="E5" s="33"/>
      <c r="F5" s="33" t="s">
        <v>12</v>
      </c>
      <c r="G5" s="33" t="s">
        <v>13</v>
      </c>
      <c r="H5" s="33" t="s">
        <v>14</v>
      </c>
      <c r="I5" s="33"/>
      <c r="J5" s="33"/>
      <c r="K5" s="33"/>
      <c r="L5" s="33"/>
      <c r="M5" s="33"/>
      <c r="N5" s="33"/>
      <c r="O5" s="33" t="s">
        <v>12</v>
      </c>
      <c r="P5" s="33" t="s">
        <v>13</v>
      </c>
      <c r="Q5" s="33" t="s">
        <v>14</v>
      </c>
      <c r="R5" s="33"/>
      <c r="S5" s="33"/>
      <c r="T5" s="33"/>
      <c r="U5" s="33"/>
    </row>
    <row r="6">
      <c r="A6" s="33" t="s">
        <v>17</v>
      </c>
      <c r="B6" s="33" t="s">
        <v>22</v>
      </c>
      <c r="C6" s="33" t="s">
        <v>28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40">
        <v>0</v>
      </c>
      <c r="J6" s="38">
        <v>0</v>
      </c>
      <c r="K6" s="38">
        <v>0</v>
      </c>
      <c r="L6" s="38">
        <v>0</v>
      </c>
      <c r="M6" s="38">
        <v>354875</v>
      </c>
      <c r="N6" s="38">
        <v>0</v>
      </c>
      <c r="O6" s="38">
        <v>0</v>
      </c>
      <c r="P6" s="38">
        <v>0</v>
      </c>
      <c r="Q6" s="38">
        <v>0</v>
      </c>
      <c r="R6" s="40">
        <v>354875</v>
      </c>
      <c r="S6" s="38">
        <v>47475</v>
      </c>
      <c r="T6" s="38">
        <v>12781</v>
      </c>
      <c r="U6" s="38">
        <v>12866</v>
      </c>
    </row>
    <row r="7">
      <c r="A7" s="33" t="s">
        <v>17</v>
      </c>
      <c r="B7" s="33" t="s">
        <v>22</v>
      </c>
      <c r="C7" s="33" t="s">
        <v>29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40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40">
        <v>0</v>
      </c>
      <c r="S7" s="38">
        <v>6</v>
      </c>
      <c r="T7" s="38">
        <v>2</v>
      </c>
      <c r="U7" s="38">
        <v>2</v>
      </c>
    </row>
    <row r="8">
      <c r="A8" s="33" t="s">
        <v>17</v>
      </c>
      <c r="B8" s="33" t="s">
        <v>22</v>
      </c>
      <c r="C8" s="33" t="s">
        <v>30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40">
        <v>0</v>
      </c>
      <c r="J8" s="38">
        <v>0</v>
      </c>
      <c r="K8" s="38">
        <v>0</v>
      </c>
      <c r="L8" s="38">
        <v>0</v>
      </c>
      <c r="M8" s="38">
        <v>393369</v>
      </c>
      <c r="N8" s="38">
        <v>0</v>
      </c>
      <c r="O8" s="38">
        <v>0</v>
      </c>
      <c r="P8" s="38">
        <v>0</v>
      </c>
      <c r="Q8" s="38">
        <v>0</v>
      </c>
      <c r="R8" s="40">
        <v>393369</v>
      </c>
      <c r="S8" s="38">
        <v>39337</v>
      </c>
      <c r="T8" s="38">
        <v>10034</v>
      </c>
      <c r="U8" s="38">
        <v>10119</v>
      </c>
    </row>
    <row r="9">
      <c r="A9" s="33" t="s">
        <v>17</v>
      </c>
      <c r="B9" s="33" t="s">
        <v>22</v>
      </c>
      <c r="C9" s="33" t="s">
        <v>31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40">
        <v>0</v>
      </c>
      <c r="J9" s="38">
        <v>0</v>
      </c>
      <c r="K9" s="38">
        <v>0</v>
      </c>
      <c r="L9" s="38">
        <v>0</v>
      </c>
      <c r="M9" s="38">
        <v>5222738</v>
      </c>
      <c r="N9" s="38">
        <v>944861</v>
      </c>
      <c r="O9" s="38">
        <v>0</v>
      </c>
      <c r="P9" s="38">
        <v>0</v>
      </c>
      <c r="Q9" s="38">
        <v>0</v>
      </c>
      <c r="R9" s="40">
        <v>6167599</v>
      </c>
      <c r="S9" s="38">
        <v>522274</v>
      </c>
      <c r="T9" s="38">
        <v>121927</v>
      </c>
      <c r="U9" s="38">
        <v>127589</v>
      </c>
    </row>
    <row r="10">
      <c r="A10" s="33" t="s">
        <v>17</v>
      </c>
      <c r="B10" s="33" t="s">
        <v>23</v>
      </c>
      <c r="C10" s="33" t="s">
        <v>31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40">
        <v>0</v>
      </c>
      <c r="J10" s="38">
        <v>0</v>
      </c>
      <c r="K10" s="38">
        <v>0</v>
      </c>
      <c r="L10" s="38">
        <v>0</v>
      </c>
      <c r="M10" s="38">
        <v>1166951</v>
      </c>
      <c r="N10" s="38">
        <v>18774</v>
      </c>
      <c r="O10" s="38">
        <v>0</v>
      </c>
      <c r="P10" s="38">
        <v>0</v>
      </c>
      <c r="Q10" s="38">
        <v>0</v>
      </c>
      <c r="R10" s="40">
        <v>1185725</v>
      </c>
      <c r="S10" s="38">
        <v>116695</v>
      </c>
      <c r="T10" s="38">
        <v>69935</v>
      </c>
      <c r="U10" s="38">
        <v>70046</v>
      </c>
    </row>
    <row r="11">
      <c r="A11" s="33" t="s">
        <v>17</v>
      </c>
      <c r="B11" s="33" t="s">
        <v>24</v>
      </c>
      <c r="C11" s="33" t="s">
        <v>31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40">
        <v>0</v>
      </c>
      <c r="J11" s="38">
        <v>0</v>
      </c>
      <c r="K11" s="38">
        <v>0</v>
      </c>
      <c r="L11" s="38">
        <v>0</v>
      </c>
      <c r="M11" s="38">
        <v>148037</v>
      </c>
      <c r="N11" s="38">
        <v>11344</v>
      </c>
      <c r="O11" s="38">
        <v>0</v>
      </c>
      <c r="P11" s="38">
        <v>0</v>
      </c>
      <c r="Q11" s="38">
        <v>0</v>
      </c>
      <c r="R11" s="40">
        <v>159381</v>
      </c>
      <c r="S11" s="38">
        <v>14804</v>
      </c>
      <c r="T11" s="38">
        <v>1115</v>
      </c>
      <c r="U11" s="38">
        <v>1157</v>
      </c>
    </row>
    <row r="12">
      <c r="A12" s="33" t="s">
        <v>17</v>
      </c>
      <c r="B12" s="33" t="s">
        <v>25</v>
      </c>
      <c r="C12" s="33" t="s">
        <v>32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40">
        <v>0</v>
      </c>
      <c r="J12" s="38">
        <v>0</v>
      </c>
      <c r="K12" s="38">
        <v>0</v>
      </c>
      <c r="L12" s="38">
        <v>0</v>
      </c>
      <c r="M12" s="38">
        <v>8566</v>
      </c>
      <c r="N12" s="38">
        <v>1486</v>
      </c>
      <c r="O12" s="38">
        <v>0</v>
      </c>
      <c r="P12" s="38">
        <v>0</v>
      </c>
      <c r="Q12" s="38">
        <v>0</v>
      </c>
      <c r="R12" s="40">
        <v>10052</v>
      </c>
      <c r="S12" s="38">
        <v>612</v>
      </c>
      <c r="T12" s="38">
        <v>78</v>
      </c>
      <c r="U12" s="38">
        <v>127</v>
      </c>
    </row>
    <row r="13">
      <c r="A13" s="33" t="s">
        <v>17</v>
      </c>
      <c r="B13" s="33" t="s">
        <v>25</v>
      </c>
      <c r="C13" s="33" t="s">
        <v>28</v>
      </c>
      <c r="D13" s="38">
        <v>0</v>
      </c>
      <c r="E13" s="38">
        <v>0</v>
      </c>
      <c r="F13" s="38">
        <v>0</v>
      </c>
      <c r="G13" s="38">
        <v>0</v>
      </c>
      <c r="H13" s="38">
        <v>0</v>
      </c>
      <c r="I13" s="40">
        <v>0</v>
      </c>
      <c r="J13" s="38">
        <v>0</v>
      </c>
      <c r="K13" s="38">
        <v>0</v>
      </c>
      <c r="L13" s="38">
        <v>0</v>
      </c>
      <c r="M13" s="38">
        <v>194889</v>
      </c>
      <c r="N13" s="38">
        <v>0</v>
      </c>
      <c r="O13" s="38">
        <v>0</v>
      </c>
      <c r="P13" s="38">
        <v>0</v>
      </c>
      <c r="Q13" s="38">
        <v>0</v>
      </c>
      <c r="R13" s="40">
        <v>194889</v>
      </c>
      <c r="S13" s="38">
        <v>45092</v>
      </c>
      <c r="T13" s="38">
        <v>2329</v>
      </c>
      <c r="U13" s="38">
        <v>3495</v>
      </c>
    </row>
    <row r="14">
      <c r="A14" s="33" t="s">
        <v>17</v>
      </c>
      <c r="B14" s="33" t="s">
        <v>25</v>
      </c>
      <c r="C14" s="33" t="s">
        <v>33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40">
        <v>0</v>
      </c>
      <c r="J14" s="38">
        <v>0</v>
      </c>
      <c r="K14" s="38">
        <v>0</v>
      </c>
      <c r="L14" s="38">
        <v>0</v>
      </c>
      <c r="M14" s="38">
        <v>1506036</v>
      </c>
      <c r="N14" s="38">
        <v>0</v>
      </c>
      <c r="O14" s="38">
        <v>0</v>
      </c>
      <c r="P14" s="38">
        <v>0</v>
      </c>
      <c r="Q14" s="38">
        <v>0</v>
      </c>
      <c r="R14" s="40">
        <v>1506036</v>
      </c>
      <c r="S14" s="38">
        <v>134735</v>
      </c>
      <c r="T14" s="38">
        <v>6858</v>
      </c>
      <c r="U14" s="38">
        <v>6858</v>
      </c>
    </row>
    <row r="15">
      <c r="A15" s="33" t="s">
        <v>17</v>
      </c>
      <c r="B15" s="33" t="s">
        <v>25</v>
      </c>
      <c r="C15" s="33" t="s">
        <v>34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40">
        <v>0</v>
      </c>
      <c r="J15" s="38">
        <v>0</v>
      </c>
      <c r="K15" s="38">
        <v>0</v>
      </c>
      <c r="L15" s="38">
        <v>0</v>
      </c>
      <c r="M15" s="38">
        <v>3646808</v>
      </c>
      <c r="N15" s="38">
        <v>79200</v>
      </c>
      <c r="O15" s="38">
        <v>165414</v>
      </c>
      <c r="P15" s="38">
        <v>129169</v>
      </c>
      <c r="Q15" s="38">
        <v>36245</v>
      </c>
      <c r="R15" s="40">
        <v>3762253</v>
      </c>
      <c r="S15" s="38">
        <v>364679</v>
      </c>
      <c r="T15" s="38">
        <v>14400</v>
      </c>
      <c r="U15" s="38">
        <v>23742</v>
      </c>
    </row>
    <row r="16">
      <c r="A16" s="33" t="s">
        <v>17</v>
      </c>
      <c r="B16" s="33" t="s">
        <v>25</v>
      </c>
      <c r="C16" s="33" t="s">
        <v>30</v>
      </c>
      <c r="D16" s="38">
        <v>0</v>
      </c>
      <c r="E16" s="38">
        <v>0</v>
      </c>
      <c r="F16" s="38">
        <v>0</v>
      </c>
      <c r="G16" s="38">
        <v>0</v>
      </c>
      <c r="H16" s="38">
        <v>0</v>
      </c>
      <c r="I16" s="40">
        <v>0</v>
      </c>
      <c r="J16" s="38">
        <v>0</v>
      </c>
      <c r="K16" s="38">
        <v>0</v>
      </c>
      <c r="L16" s="38">
        <v>0</v>
      </c>
      <c r="M16" s="38">
        <v>300576</v>
      </c>
      <c r="N16" s="38">
        <v>0</v>
      </c>
      <c r="O16" s="38">
        <v>0</v>
      </c>
      <c r="P16" s="38">
        <v>0</v>
      </c>
      <c r="Q16" s="38">
        <v>0</v>
      </c>
      <c r="R16" s="40">
        <v>300576</v>
      </c>
      <c r="S16" s="38">
        <v>30058</v>
      </c>
      <c r="T16" s="38">
        <v>1378</v>
      </c>
      <c r="U16" s="38">
        <v>2020</v>
      </c>
    </row>
    <row r="17">
      <c r="A17" s="33" t="s">
        <v>17</v>
      </c>
      <c r="B17" s="33" t="s">
        <v>25</v>
      </c>
      <c r="C17" s="33" t="s">
        <v>31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40">
        <v>0</v>
      </c>
      <c r="J17" s="38">
        <v>0</v>
      </c>
      <c r="K17" s="38">
        <v>0</v>
      </c>
      <c r="L17" s="38">
        <v>0</v>
      </c>
      <c r="M17" s="38">
        <v>951573</v>
      </c>
      <c r="N17" s="38">
        <v>125176</v>
      </c>
      <c r="O17" s="38">
        <v>0</v>
      </c>
      <c r="P17" s="38">
        <v>0</v>
      </c>
      <c r="Q17" s="38">
        <v>0</v>
      </c>
      <c r="R17" s="40">
        <v>1076749</v>
      </c>
      <c r="S17" s="38">
        <v>95157</v>
      </c>
      <c r="T17" s="38">
        <v>12726</v>
      </c>
      <c r="U17" s="38">
        <v>13884</v>
      </c>
    </row>
    <row r="18">
      <c r="A18" s="33" t="s">
        <v>17</v>
      </c>
      <c r="B18" s="33" t="s">
        <v>25</v>
      </c>
      <c r="C18" s="33" t="s">
        <v>35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40">
        <v>0</v>
      </c>
      <c r="J18" s="38">
        <v>0</v>
      </c>
      <c r="K18" s="38">
        <v>0</v>
      </c>
      <c r="L18" s="38">
        <v>0</v>
      </c>
      <c r="M18" s="38">
        <v>186552</v>
      </c>
      <c r="N18" s="38">
        <v>0</v>
      </c>
      <c r="O18" s="38">
        <v>0</v>
      </c>
      <c r="P18" s="38">
        <v>0</v>
      </c>
      <c r="Q18" s="38">
        <v>0</v>
      </c>
      <c r="R18" s="40">
        <v>186552</v>
      </c>
      <c r="S18" s="38">
        <v>24177</v>
      </c>
      <c r="T18" s="38">
        <v>580</v>
      </c>
      <c r="U18" s="38">
        <v>1635</v>
      </c>
    </row>
    <row r="19">
      <c r="A19" s="33" t="s">
        <v>17</v>
      </c>
      <c r="B19" s="33" t="s">
        <v>25</v>
      </c>
      <c r="C19" s="33" t="s">
        <v>36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40">
        <v>0</v>
      </c>
      <c r="J19" s="38">
        <v>0</v>
      </c>
      <c r="K19" s="38">
        <v>0</v>
      </c>
      <c r="L19" s="38">
        <v>0</v>
      </c>
      <c r="M19" s="38">
        <v>1584887</v>
      </c>
      <c r="N19" s="38">
        <v>0</v>
      </c>
      <c r="O19" s="38">
        <v>0</v>
      </c>
      <c r="P19" s="38">
        <v>0</v>
      </c>
      <c r="Q19" s="38">
        <v>0</v>
      </c>
      <c r="R19" s="40">
        <v>1584887</v>
      </c>
      <c r="S19" s="38">
        <v>150094</v>
      </c>
      <c r="T19" s="38">
        <v>6284</v>
      </c>
      <c r="U19" s="38">
        <v>6284</v>
      </c>
    </row>
    <row r="20">
      <c r="C20" s="40" t="s">
        <v>19</v>
      </c>
      <c r="D20" s="40">
        <f>SUM(D6:D19)</f>
        <v/>
      </c>
      <c r="E20" s="40">
        <f>SUM(E6:E19)</f>
        <v/>
      </c>
      <c r="F20" s="40">
        <f>SUM(F6:F19)</f>
        <v/>
      </c>
      <c r="G20" s="40">
        <f>SUM(G6:G19)</f>
        <v/>
      </c>
      <c r="H20" s="40">
        <f>SUM(H6:H19)</f>
        <v/>
      </c>
      <c r="I20" s="40">
        <f>SUM(I6:I19)</f>
        <v/>
      </c>
      <c r="J20" s="40">
        <f>SUM(J6:J19)</f>
        <v/>
      </c>
      <c r="K20" s="40">
        <f>SUM(K6:K19)</f>
        <v/>
      </c>
      <c r="L20" s="40">
        <f>SUM(L6:L19)</f>
        <v/>
      </c>
      <c r="M20" s="40">
        <f>SUM(M6:M19)</f>
        <v/>
      </c>
      <c r="N20" s="40">
        <f>SUM(N6:N19)</f>
        <v/>
      </c>
      <c r="O20" s="40">
        <f>SUM(O6:O19)</f>
        <v/>
      </c>
      <c r="P20" s="40">
        <f>SUM(P6:P19)</f>
        <v/>
      </c>
      <c r="Q20" s="40">
        <f>SUM(Q6:Q19)</f>
        <v/>
      </c>
      <c r="R20" s="40">
        <f>SUM(R6:R19)</f>
        <v/>
      </c>
      <c r="S20" s="40">
        <v>1585187</v>
      </c>
      <c r="T20" s="40">
        <f>SUM(T6:T19)</f>
        <v/>
      </c>
      <c r="U20" s="40">
        <f>SUM(U6:U19)</f>
        <v/>
      </c>
    </row>
  </sheetData>
  <mergeCells>
    <mergeCell ref="A1:U2"/>
    <mergeCell ref="A3:A5"/>
    <mergeCell ref="B3:B5"/>
    <mergeCell ref="C3:C5"/>
    <mergeCell ref="D3:L3"/>
    <mergeCell ref="M3:U3"/>
    <mergeCell ref="D4:D5"/>
    <mergeCell ref="E4:E5"/>
    <mergeCell ref="F4:H4"/>
    <mergeCell ref="I4:I5"/>
    <mergeCell ref="J4:J5"/>
    <mergeCell ref="K4:K5"/>
    <mergeCell ref="L4:L5"/>
    <mergeCell ref="M4:M5"/>
    <mergeCell ref="N4:N5"/>
    <mergeCell ref="O4:Q4"/>
    <mergeCell ref="R4:R5"/>
    <mergeCell ref="S4:S5"/>
    <mergeCell ref="T4:T5"/>
    <mergeCell ref="U4:U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30" customHeight="1"/>
  <cols>
    <col min="1" max="1" width="21.484375" customWidth="1" collapsed="1"/>
    <col min="2" max="2" width="13.671875" customWidth="1" collapsed="1"/>
    <col min="3" max="3" width="42.96875" customWidth="1" collapsed="1"/>
    <col min="4" max="4" width="17.578125" customWidth="1" collapsed="1"/>
    <col min="5" max="5" width="17.578125" customWidth="1" collapsed="1"/>
    <col min="6" max="6" width="17.578125" customWidth="1" collapsed="1"/>
    <col min="7" max="7" width="17.578125" customWidth="1" collapsed="1"/>
    <col min="8" max="8" width="17.578125" customWidth="1" collapsed="1"/>
    <col min="9" max="9" width="17.578125" customWidth="1" collapsed="1"/>
    <col min="10" max="10" width="17.578125" customWidth="1" collapsed="1"/>
    <col min="11" max="11" width="17.578125" customWidth="1" collapsed="1"/>
    <col min="12" max="12" width="17.578125" customWidth="1" collapsed="1"/>
    <col min="13" max="13" width="17.578125" customWidth="1" collapsed="1"/>
    <col min="14" max="14" width="17.578125" customWidth="1" collapsed="1"/>
    <col min="15" max="15" width="17.578125" customWidth="1" collapsed="1"/>
    <col min="16" max="16" width="17.578125" customWidth="1" collapsed="1"/>
    <col min="17" max="17" width="17.578125" customWidth="1" collapsed="1"/>
    <col min="18" max="18" width="19.53125" customWidth="1" collapsed="1"/>
    <col min="19" max="19" width="17.578125" customWidth="1" collapsed="1"/>
    <col min="20" max="20" width="17.578125" customWidth="1" collapsed="1"/>
    <col min="21" max="21" width="17.578125" customWidth="1" collapsed="1"/>
  </cols>
  <sheetData>
    <row r="1">
      <c r="A1" s="45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30"/>
    </row>
    <row r="2">
      <c r="A2" s="20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24"/>
    </row>
    <row r="3">
      <c r="A3" s="47" t="s">
        <v>1</v>
      </c>
      <c r="B3" s="47" t="s">
        <v>2</v>
      </c>
      <c r="C3" s="47" t="s">
        <v>27</v>
      </c>
      <c r="D3" s="50" t="s">
        <v>3</v>
      </c>
      <c r="G3" s="47"/>
      <c r="H3" s="47"/>
      <c r="M3" s="50" t="s">
        <v>4</v>
      </c>
      <c r="P3" s="47"/>
      <c r="Q3" s="47"/>
      <c r="U3" s="47"/>
    </row>
    <row r="4">
      <c r="A4" s="47"/>
      <c r="B4" s="47"/>
      <c r="C4" s="47"/>
      <c r="D4" s="47" t="s">
        <v>5</v>
      </c>
      <c r="E4" s="47" t="s">
        <v>6</v>
      </c>
      <c r="F4" s="47" t="s">
        <v>7</v>
      </c>
      <c r="I4" s="50" t="s">
        <v>8</v>
      </c>
      <c r="J4" s="47" t="s">
        <v>9</v>
      </c>
      <c r="K4" s="47" t="s">
        <v>10</v>
      </c>
      <c r="L4" s="47" t="s">
        <v>11</v>
      </c>
      <c r="M4" s="47" t="s">
        <v>5</v>
      </c>
      <c r="N4" s="47" t="s">
        <v>6</v>
      </c>
      <c r="O4" s="47" t="s">
        <v>7</v>
      </c>
      <c r="R4" s="50" t="s">
        <v>8</v>
      </c>
      <c r="S4" s="47" t="s">
        <v>9</v>
      </c>
      <c r="T4" s="47" t="s">
        <v>10</v>
      </c>
      <c r="U4" s="47" t="s">
        <v>11</v>
      </c>
    </row>
    <row r="5">
      <c r="A5" s="47"/>
      <c r="B5" s="47"/>
      <c r="C5" s="47"/>
      <c r="D5" s="47"/>
      <c r="E5" s="47"/>
      <c r="F5" s="47" t="s">
        <v>12</v>
      </c>
      <c r="G5" s="47" t="s">
        <v>13</v>
      </c>
      <c r="H5" s="47" t="s">
        <v>14</v>
      </c>
      <c r="I5" s="47"/>
      <c r="J5" s="47"/>
      <c r="K5" s="47"/>
      <c r="L5" s="47"/>
      <c r="M5" s="47"/>
      <c r="N5" s="47"/>
      <c r="O5" s="47" t="s">
        <v>12</v>
      </c>
      <c r="P5" s="47" t="s">
        <v>13</v>
      </c>
      <c r="Q5" s="47" t="s">
        <v>14</v>
      </c>
      <c r="R5" s="47"/>
      <c r="S5" s="47"/>
      <c r="T5" s="47"/>
      <c r="U5" s="47"/>
    </row>
    <row r="6">
      <c r="A6" s="47" t="s">
        <v>15</v>
      </c>
      <c r="B6" s="47" t="s">
        <v>20</v>
      </c>
      <c r="C6" s="47" t="s">
        <v>38</v>
      </c>
      <c r="D6" s="52">
        <v>0</v>
      </c>
      <c r="E6" s="52">
        <v>0</v>
      </c>
      <c r="F6" s="52">
        <v>0</v>
      </c>
      <c r="G6" s="52">
        <v>0</v>
      </c>
      <c r="H6" s="52">
        <v>0</v>
      </c>
      <c r="I6" s="54">
        <v>0</v>
      </c>
      <c r="J6" s="52">
        <v>0</v>
      </c>
      <c r="K6" s="52">
        <v>0</v>
      </c>
      <c r="L6" s="52">
        <v>0</v>
      </c>
      <c r="M6" s="52">
        <v>515479</v>
      </c>
      <c r="N6" s="52">
        <v>0</v>
      </c>
      <c r="O6" s="52">
        <v>0</v>
      </c>
      <c r="P6" s="52">
        <v>0</v>
      </c>
      <c r="Q6" s="52">
        <v>0</v>
      </c>
      <c r="R6" s="54">
        <v>515479</v>
      </c>
      <c r="S6" s="52">
        <v>38661</v>
      </c>
      <c r="T6" s="52">
        <v>18414</v>
      </c>
      <c r="U6" s="52">
        <v>18414</v>
      </c>
    </row>
    <row r="7">
      <c r="A7" s="47" t="s">
        <v>15</v>
      </c>
      <c r="B7" s="47" t="s">
        <v>20</v>
      </c>
      <c r="C7" s="47" t="s">
        <v>39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4">
        <v>0</v>
      </c>
      <c r="J7" s="52">
        <v>0</v>
      </c>
      <c r="K7" s="52">
        <v>0</v>
      </c>
      <c r="L7" s="52">
        <v>0</v>
      </c>
      <c r="M7" s="52">
        <v>2308</v>
      </c>
      <c r="N7" s="52">
        <v>0</v>
      </c>
      <c r="O7" s="52">
        <v>0</v>
      </c>
      <c r="P7" s="52">
        <v>0</v>
      </c>
      <c r="Q7" s="52">
        <v>0</v>
      </c>
      <c r="R7" s="54">
        <v>2308</v>
      </c>
      <c r="S7" s="52">
        <v>202</v>
      </c>
      <c r="T7" s="52">
        <v>113</v>
      </c>
      <c r="U7" s="52">
        <v>113</v>
      </c>
    </row>
    <row r="8">
      <c r="A8" s="47" t="s">
        <v>15</v>
      </c>
      <c r="B8" s="47" t="s">
        <v>20</v>
      </c>
      <c r="C8" s="47" t="s">
        <v>40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4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4">
        <v>0</v>
      </c>
      <c r="S8" s="52">
        <v>6</v>
      </c>
      <c r="T8" s="52">
        <v>4</v>
      </c>
      <c r="U8" s="52">
        <v>8</v>
      </c>
    </row>
    <row r="9">
      <c r="A9" s="47" t="s">
        <v>15</v>
      </c>
      <c r="B9" s="47" t="s">
        <v>20</v>
      </c>
      <c r="C9" s="47" t="s">
        <v>41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4">
        <v>0</v>
      </c>
      <c r="J9" s="52">
        <v>0</v>
      </c>
      <c r="K9" s="52">
        <v>0</v>
      </c>
      <c r="L9" s="52">
        <v>0</v>
      </c>
      <c r="M9" s="52">
        <v>30952</v>
      </c>
      <c r="N9" s="52">
        <v>15833</v>
      </c>
      <c r="O9" s="52">
        <v>0</v>
      </c>
      <c r="P9" s="52">
        <v>0</v>
      </c>
      <c r="Q9" s="52">
        <v>0</v>
      </c>
      <c r="R9" s="54">
        <v>46785</v>
      </c>
      <c r="S9" s="52">
        <v>3439</v>
      </c>
      <c r="T9" s="52">
        <v>4112</v>
      </c>
      <c r="U9" s="52">
        <v>4325</v>
      </c>
    </row>
    <row r="10">
      <c r="A10" s="47" t="s">
        <v>15</v>
      </c>
      <c r="B10" s="47" t="s">
        <v>20</v>
      </c>
      <c r="C10" s="47" t="s">
        <v>42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4">
        <v>0</v>
      </c>
      <c r="J10" s="52">
        <v>0</v>
      </c>
      <c r="K10" s="52">
        <v>0</v>
      </c>
      <c r="L10" s="52">
        <v>0</v>
      </c>
      <c r="M10" s="52">
        <v>4667</v>
      </c>
      <c r="N10" s="52">
        <v>1777</v>
      </c>
      <c r="O10" s="52">
        <v>0</v>
      </c>
      <c r="P10" s="52">
        <v>0</v>
      </c>
      <c r="Q10" s="52">
        <v>0</v>
      </c>
      <c r="R10" s="54">
        <v>6444</v>
      </c>
      <c r="S10" s="52">
        <v>4177</v>
      </c>
      <c r="T10" s="52">
        <v>611</v>
      </c>
      <c r="U10" s="52">
        <v>746</v>
      </c>
    </row>
    <row r="11">
      <c r="A11" s="47" t="s">
        <v>15</v>
      </c>
      <c r="B11" s="47" t="s">
        <v>20</v>
      </c>
      <c r="C11" s="47" t="s">
        <v>43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4">
        <v>0</v>
      </c>
      <c r="J11" s="52">
        <v>0</v>
      </c>
      <c r="K11" s="52">
        <v>0</v>
      </c>
      <c r="L11" s="52">
        <v>0</v>
      </c>
      <c r="M11" s="52">
        <v>432013</v>
      </c>
      <c r="N11" s="52">
        <v>0</v>
      </c>
      <c r="O11" s="52">
        <v>0</v>
      </c>
      <c r="P11" s="52">
        <v>0</v>
      </c>
      <c r="Q11" s="52">
        <v>0</v>
      </c>
      <c r="R11" s="54">
        <v>432013</v>
      </c>
      <c r="S11" s="52">
        <v>32728</v>
      </c>
      <c r="T11" s="52">
        <v>7071</v>
      </c>
      <c r="U11" s="52">
        <v>63155</v>
      </c>
    </row>
    <row r="12">
      <c r="A12" s="47" t="s">
        <v>15</v>
      </c>
      <c r="B12" s="47" t="s">
        <v>20</v>
      </c>
      <c r="C12" s="47" t="s">
        <v>44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4">
        <v>0</v>
      </c>
      <c r="J12" s="52">
        <v>0</v>
      </c>
      <c r="K12" s="52">
        <v>0</v>
      </c>
      <c r="L12" s="52">
        <v>0</v>
      </c>
      <c r="M12" s="52">
        <v>838421</v>
      </c>
      <c r="N12" s="52">
        <v>0</v>
      </c>
      <c r="O12" s="52">
        <v>0</v>
      </c>
      <c r="P12" s="52">
        <v>0</v>
      </c>
      <c r="Q12" s="52">
        <v>0</v>
      </c>
      <c r="R12" s="54">
        <v>838421</v>
      </c>
      <c r="S12" s="52">
        <v>63516</v>
      </c>
      <c r="T12" s="52">
        <v>11874</v>
      </c>
      <c r="U12" s="52">
        <v>107417</v>
      </c>
    </row>
    <row r="13">
      <c r="A13" s="47" t="s">
        <v>15</v>
      </c>
      <c r="B13" s="47" t="s">
        <v>20</v>
      </c>
      <c r="C13" s="47" t="s">
        <v>45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4">
        <v>0</v>
      </c>
      <c r="J13" s="52">
        <v>0</v>
      </c>
      <c r="K13" s="52">
        <v>0</v>
      </c>
      <c r="L13" s="52">
        <v>0</v>
      </c>
      <c r="M13" s="52">
        <v>336482</v>
      </c>
      <c r="N13" s="52">
        <v>0</v>
      </c>
      <c r="O13" s="52">
        <v>0</v>
      </c>
      <c r="P13" s="52">
        <v>0</v>
      </c>
      <c r="Q13" s="52">
        <v>0</v>
      </c>
      <c r="R13" s="54">
        <v>336482</v>
      </c>
      <c r="S13" s="52">
        <v>39257</v>
      </c>
      <c r="T13" s="52">
        <v>8186</v>
      </c>
      <c r="U13" s="52">
        <v>74102</v>
      </c>
    </row>
    <row r="14">
      <c r="A14" s="47" t="s">
        <v>15</v>
      </c>
      <c r="B14" s="47" t="s">
        <v>20</v>
      </c>
      <c r="C14" s="47" t="s">
        <v>46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4">
        <v>0</v>
      </c>
      <c r="J14" s="52">
        <v>0</v>
      </c>
      <c r="K14" s="52">
        <v>0</v>
      </c>
      <c r="L14" s="52">
        <v>0</v>
      </c>
      <c r="M14" s="52">
        <v>250594</v>
      </c>
      <c r="N14" s="52">
        <v>0</v>
      </c>
      <c r="O14" s="52">
        <v>0</v>
      </c>
      <c r="P14" s="52">
        <v>0</v>
      </c>
      <c r="Q14" s="52">
        <v>0</v>
      </c>
      <c r="R14" s="54">
        <v>250594</v>
      </c>
      <c r="S14" s="52">
        <v>18984</v>
      </c>
      <c r="T14" s="52">
        <v>4370</v>
      </c>
      <c r="U14" s="52">
        <v>36213</v>
      </c>
    </row>
    <row r="15">
      <c r="A15" s="47" t="s">
        <v>15</v>
      </c>
      <c r="B15" s="47" t="s">
        <v>20</v>
      </c>
      <c r="C15" s="47" t="s">
        <v>47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4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4">
        <v>0</v>
      </c>
      <c r="S15" s="52">
        <v>281</v>
      </c>
      <c r="T15" s="52">
        <v>51</v>
      </c>
      <c r="U15" s="52">
        <v>485</v>
      </c>
    </row>
    <row r="16">
      <c r="A16" s="47" t="s">
        <v>15</v>
      </c>
      <c r="B16" s="47" t="s">
        <v>20</v>
      </c>
      <c r="C16" s="47" t="s">
        <v>48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4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4">
        <v>0</v>
      </c>
      <c r="S16" s="52">
        <v>16572</v>
      </c>
      <c r="T16" s="52">
        <v>3400</v>
      </c>
      <c r="U16" s="52">
        <v>31450</v>
      </c>
    </row>
    <row r="17">
      <c r="A17" s="47" t="s">
        <v>15</v>
      </c>
      <c r="B17" s="47" t="s">
        <v>20</v>
      </c>
      <c r="C17" s="47" t="s">
        <v>49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4">
        <v>0</v>
      </c>
      <c r="J17" s="52">
        <v>0</v>
      </c>
      <c r="K17" s="52">
        <v>0</v>
      </c>
      <c r="L17" s="52">
        <v>0</v>
      </c>
      <c r="M17" s="52">
        <v>0</v>
      </c>
      <c r="N17" s="52">
        <v>154292</v>
      </c>
      <c r="O17" s="52">
        <v>0</v>
      </c>
      <c r="P17" s="52">
        <v>0</v>
      </c>
      <c r="Q17" s="52">
        <v>0</v>
      </c>
      <c r="R17" s="54">
        <v>154292</v>
      </c>
      <c r="S17" s="52">
        <v>16889</v>
      </c>
      <c r="T17" s="52">
        <v>20364</v>
      </c>
      <c r="U17" s="52">
        <v>20364</v>
      </c>
    </row>
    <row r="18">
      <c r="A18" s="47" t="s">
        <v>15</v>
      </c>
      <c r="B18" s="47" t="s">
        <v>20</v>
      </c>
      <c r="C18" s="47" t="s">
        <v>50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4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4">
        <v>0</v>
      </c>
      <c r="S18" s="52">
        <v>11433</v>
      </c>
      <c r="T18" s="52">
        <v>3450</v>
      </c>
      <c r="U18" s="52">
        <v>21074</v>
      </c>
    </row>
    <row r="19">
      <c r="A19" s="47" t="s">
        <v>15</v>
      </c>
      <c r="B19" s="47" t="s">
        <v>20</v>
      </c>
      <c r="C19" s="47" t="s">
        <v>51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4">
        <v>0</v>
      </c>
      <c r="J19" s="52">
        <v>0</v>
      </c>
      <c r="K19" s="52">
        <v>0</v>
      </c>
      <c r="L19" s="52">
        <v>0</v>
      </c>
      <c r="M19" s="52">
        <v>45663</v>
      </c>
      <c r="N19" s="52">
        <v>0</v>
      </c>
      <c r="O19" s="52">
        <v>0</v>
      </c>
      <c r="P19" s="52">
        <v>0</v>
      </c>
      <c r="Q19" s="52">
        <v>0</v>
      </c>
      <c r="R19" s="54">
        <v>45663</v>
      </c>
      <c r="S19" s="52">
        <v>2950</v>
      </c>
      <c r="T19" s="52">
        <v>5208</v>
      </c>
      <c r="U19" s="52">
        <v>5208</v>
      </c>
    </row>
    <row r="20">
      <c r="A20" s="47" t="s">
        <v>15</v>
      </c>
      <c r="B20" s="47" t="s">
        <v>20</v>
      </c>
      <c r="C20" s="47" t="s">
        <v>52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4">
        <v>0</v>
      </c>
      <c r="J20" s="52">
        <v>0</v>
      </c>
      <c r="K20" s="52">
        <v>0</v>
      </c>
      <c r="L20" s="52">
        <v>0</v>
      </c>
      <c r="M20" s="52">
        <v>31290</v>
      </c>
      <c r="N20" s="52">
        <v>0</v>
      </c>
      <c r="O20" s="52">
        <v>0</v>
      </c>
      <c r="P20" s="52">
        <v>0</v>
      </c>
      <c r="Q20" s="52">
        <v>0</v>
      </c>
      <c r="R20" s="54">
        <v>31290</v>
      </c>
      <c r="S20" s="52">
        <v>2022</v>
      </c>
      <c r="T20" s="52">
        <v>3881</v>
      </c>
      <c r="U20" s="52">
        <v>3881</v>
      </c>
    </row>
    <row r="21">
      <c r="A21" s="47" t="s">
        <v>15</v>
      </c>
      <c r="B21" s="47" t="s">
        <v>20</v>
      </c>
      <c r="C21" s="47" t="s">
        <v>53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4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4">
        <v>0</v>
      </c>
      <c r="S21" s="52">
        <v>2065</v>
      </c>
      <c r="T21" s="52">
        <v>201</v>
      </c>
      <c r="U21" s="52">
        <v>235</v>
      </c>
    </row>
    <row r="22">
      <c r="A22" s="47" t="s">
        <v>15</v>
      </c>
      <c r="B22" s="47" t="s">
        <v>20</v>
      </c>
      <c r="C22" s="47" t="s">
        <v>54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4">
        <v>0</v>
      </c>
      <c r="J22" s="52">
        <v>0</v>
      </c>
      <c r="K22" s="52">
        <v>0</v>
      </c>
      <c r="L22" s="52">
        <v>0</v>
      </c>
      <c r="M22" s="52">
        <v>1056488</v>
      </c>
      <c r="N22" s="52">
        <v>246637</v>
      </c>
      <c r="O22" s="52">
        <v>0</v>
      </c>
      <c r="P22" s="52">
        <v>0</v>
      </c>
      <c r="Q22" s="52">
        <v>0</v>
      </c>
      <c r="R22" s="54">
        <v>1303125</v>
      </c>
      <c r="S22" s="52">
        <v>150920</v>
      </c>
      <c r="T22" s="52">
        <v>21993</v>
      </c>
      <c r="U22" s="52">
        <v>97964</v>
      </c>
    </row>
    <row r="23">
      <c r="A23" s="47" t="s">
        <v>15</v>
      </c>
      <c r="B23" s="47" t="s">
        <v>20</v>
      </c>
      <c r="C23" s="47" t="s">
        <v>55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4">
        <v>0</v>
      </c>
      <c r="J23" s="52">
        <v>0</v>
      </c>
      <c r="K23" s="52">
        <v>0</v>
      </c>
      <c r="L23" s="52">
        <v>0</v>
      </c>
      <c r="M23" s="52">
        <v>3276</v>
      </c>
      <c r="N23" s="52">
        <v>0</v>
      </c>
      <c r="O23" s="52">
        <v>0</v>
      </c>
      <c r="P23" s="52">
        <v>0</v>
      </c>
      <c r="Q23" s="52">
        <v>0</v>
      </c>
      <c r="R23" s="54">
        <v>3276</v>
      </c>
      <c r="S23" s="52">
        <v>410</v>
      </c>
      <c r="T23" s="52">
        <v>52</v>
      </c>
      <c r="U23" s="52">
        <v>52</v>
      </c>
    </row>
    <row r="24">
      <c r="A24" s="47" t="s">
        <v>15</v>
      </c>
      <c r="B24" s="47" t="s">
        <v>20</v>
      </c>
      <c r="C24" s="47" t="s">
        <v>56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4">
        <v>0</v>
      </c>
      <c r="J24" s="52">
        <v>0</v>
      </c>
      <c r="K24" s="52">
        <v>0</v>
      </c>
      <c r="L24" s="52">
        <v>0</v>
      </c>
      <c r="M24" s="52">
        <v>0</v>
      </c>
      <c r="N24" s="52">
        <v>6125</v>
      </c>
      <c r="O24" s="52">
        <v>0</v>
      </c>
      <c r="P24" s="52">
        <v>0</v>
      </c>
      <c r="Q24" s="52">
        <v>0</v>
      </c>
      <c r="R24" s="54">
        <v>6125</v>
      </c>
      <c r="S24" s="52">
        <v>15005</v>
      </c>
      <c r="T24" s="52">
        <v>1029</v>
      </c>
      <c r="U24" s="52">
        <v>1519</v>
      </c>
    </row>
    <row r="25">
      <c r="A25" s="47" t="s">
        <v>15</v>
      </c>
      <c r="B25" s="47" t="s">
        <v>20</v>
      </c>
      <c r="C25" s="47" t="s">
        <v>57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4">
        <v>0</v>
      </c>
      <c r="J25" s="52">
        <v>0</v>
      </c>
      <c r="K25" s="52">
        <v>0</v>
      </c>
      <c r="L25" s="52">
        <v>0</v>
      </c>
      <c r="M25" s="52">
        <v>19629</v>
      </c>
      <c r="N25" s="52">
        <v>3553</v>
      </c>
      <c r="O25" s="52">
        <v>0</v>
      </c>
      <c r="P25" s="52">
        <v>0</v>
      </c>
      <c r="Q25" s="52">
        <v>0</v>
      </c>
      <c r="R25" s="54">
        <v>23182</v>
      </c>
      <c r="S25" s="52">
        <v>2860</v>
      </c>
      <c r="T25" s="52">
        <v>323</v>
      </c>
      <c r="U25" s="52">
        <v>970</v>
      </c>
    </row>
    <row r="26">
      <c r="A26" s="47" t="s">
        <v>15</v>
      </c>
      <c r="B26" s="47" t="s">
        <v>20</v>
      </c>
      <c r="C26" s="47" t="s">
        <v>58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4">
        <v>0</v>
      </c>
      <c r="J26" s="52">
        <v>0</v>
      </c>
      <c r="K26" s="52">
        <v>0</v>
      </c>
      <c r="L26" s="52">
        <v>0</v>
      </c>
      <c r="M26" s="52">
        <v>388246</v>
      </c>
      <c r="N26" s="52">
        <v>0</v>
      </c>
      <c r="O26" s="52">
        <v>0</v>
      </c>
      <c r="P26" s="52">
        <v>0</v>
      </c>
      <c r="Q26" s="52">
        <v>0</v>
      </c>
      <c r="R26" s="54">
        <v>388246</v>
      </c>
      <c r="S26" s="52">
        <v>37059</v>
      </c>
      <c r="T26" s="52">
        <v>11016</v>
      </c>
      <c r="U26" s="52">
        <v>80981</v>
      </c>
    </row>
    <row r="27">
      <c r="A27" s="47" t="s">
        <v>15</v>
      </c>
      <c r="B27" s="47" t="s">
        <v>21</v>
      </c>
      <c r="C27" s="47" t="s">
        <v>59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4">
        <v>0</v>
      </c>
      <c r="J27" s="52">
        <v>0</v>
      </c>
      <c r="K27" s="52">
        <v>0</v>
      </c>
      <c r="L27" s="52">
        <v>0</v>
      </c>
      <c r="M27" s="52">
        <v>61211</v>
      </c>
      <c r="N27" s="52">
        <v>0</v>
      </c>
      <c r="O27" s="52">
        <v>0</v>
      </c>
      <c r="P27" s="52">
        <v>0</v>
      </c>
      <c r="Q27" s="52">
        <v>0</v>
      </c>
      <c r="R27" s="54">
        <v>61211</v>
      </c>
      <c r="S27" s="52">
        <v>6120</v>
      </c>
      <c r="T27" s="52">
        <v>1267</v>
      </c>
      <c r="U27" s="52">
        <v>1267</v>
      </c>
    </row>
    <row r="28">
      <c r="A28" s="47" t="s">
        <v>15</v>
      </c>
      <c r="B28" s="47" t="s">
        <v>21</v>
      </c>
      <c r="C28" s="47" t="s">
        <v>60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4">
        <v>0</v>
      </c>
      <c r="J28" s="52">
        <v>0</v>
      </c>
      <c r="K28" s="52">
        <v>0</v>
      </c>
      <c r="L28" s="52">
        <v>0</v>
      </c>
      <c r="M28" s="52">
        <v>301452</v>
      </c>
      <c r="N28" s="52">
        <v>0</v>
      </c>
      <c r="O28" s="52">
        <v>0</v>
      </c>
      <c r="P28" s="52">
        <v>0</v>
      </c>
      <c r="Q28" s="52">
        <v>0</v>
      </c>
      <c r="R28" s="54">
        <v>301452</v>
      </c>
      <c r="S28" s="52">
        <v>30144</v>
      </c>
      <c r="T28" s="52">
        <v>4653</v>
      </c>
      <c r="U28" s="52">
        <v>4653</v>
      </c>
    </row>
    <row r="29">
      <c r="A29" s="47" t="s">
        <v>15</v>
      </c>
      <c r="B29" s="47" t="s">
        <v>21</v>
      </c>
      <c r="C29" s="47" t="s">
        <v>61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4">
        <v>0</v>
      </c>
      <c r="J29" s="52">
        <v>0</v>
      </c>
      <c r="K29" s="52">
        <v>0</v>
      </c>
      <c r="L29" s="52">
        <v>0</v>
      </c>
      <c r="M29" s="52">
        <v>3895300</v>
      </c>
      <c r="N29" s="52">
        <v>0</v>
      </c>
      <c r="O29" s="52">
        <v>0</v>
      </c>
      <c r="P29" s="52">
        <v>0</v>
      </c>
      <c r="Q29" s="52">
        <v>0</v>
      </c>
      <c r="R29" s="54">
        <v>3895300</v>
      </c>
      <c r="S29" s="52">
        <v>389529</v>
      </c>
      <c r="T29" s="52">
        <v>59506</v>
      </c>
      <c r="U29" s="52">
        <v>60383</v>
      </c>
    </row>
    <row r="30">
      <c r="A30" s="47" t="s">
        <v>15</v>
      </c>
      <c r="B30" s="47" t="s">
        <v>21</v>
      </c>
      <c r="C30" s="47" t="s">
        <v>62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4">
        <v>0</v>
      </c>
      <c r="J30" s="52">
        <v>0</v>
      </c>
      <c r="K30" s="52">
        <v>0</v>
      </c>
      <c r="L30" s="52">
        <v>0</v>
      </c>
      <c r="M30" s="52">
        <v>589112</v>
      </c>
      <c r="N30" s="52">
        <v>0</v>
      </c>
      <c r="O30" s="52">
        <v>0</v>
      </c>
      <c r="P30" s="52">
        <v>0</v>
      </c>
      <c r="Q30" s="52">
        <v>0</v>
      </c>
      <c r="R30" s="54">
        <v>589112</v>
      </c>
      <c r="S30" s="52">
        <v>58910</v>
      </c>
      <c r="T30" s="52">
        <v>10538</v>
      </c>
      <c r="U30" s="52">
        <v>10538</v>
      </c>
    </row>
    <row r="31">
      <c r="A31" s="47" t="s">
        <v>15</v>
      </c>
      <c r="B31" s="47" t="s">
        <v>21</v>
      </c>
      <c r="C31" s="47" t="s">
        <v>44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4">
        <v>0</v>
      </c>
      <c r="J31" s="52">
        <v>0</v>
      </c>
      <c r="K31" s="52">
        <v>0</v>
      </c>
      <c r="L31" s="52">
        <v>0</v>
      </c>
      <c r="M31" s="52">
        <v>44262</v>
      </c>
      <c r="N31" s="52">
        <v>0</v>
      </c>
      <c r="O31" s="52">
        <v>0</v>
      </c>
      <c r="P31" s="52">
        <v>0</v>
      </c>
      <c r="Q31" s="52">
        <v>0</v>
      </c>
      <c r="R31" s="54">
        <v>44262</v>
      </c>
      <c r="S31" s="52">
        <v>3353</v>
      </c>
      <c r="T31" s="52">
        <v>666</v>
      </c>
      <c r="U31" s="52">
        <v>6084</v>
      </c>
    </row>
    <row r="32">
      <c r="A32" s="47" t="s">
        <v>15</v>
      </c>
      <c r="B32" s="47" t="s">
        <v>21</v>
      </c>
      <c r="C32" s="47" t="s">
        <v>63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4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4">
        <v>0</v>
      </c>
      <c r="S32" s="52">
        <v>362</v>
      </c>
      <c r="T32" s="52">
        <v>26</v>
      </c>
      <c r="U32" s="52">
        <v>40</v>
      </c>
    </row>
    <row r="33">
      <c r="A33" s="47" t="s">
        <v>15</v>
      </c>
      <c r="B33" s="47" t="s">
        <v>21</v>
      </c>
      <c r="C33" s="47" t="s">
        <v>54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4">
        <v>0</v>
      </c>
      <c r="J33" s="52">
        <v>0</v>
      </c>
      <c r="K33" s="52">
        <v>0</v>
      </c>
      <c r="L33" s="52">
        <v>0</v>
      </c>
      <c r="M33" s="52">
        <v>812</v>
      </c>
      <c r="N33" s="52">
        <v>0</v>
      </c>
      <c r="O33" s="52">
        <v>0</v>
      </c>
      <c r="P33" s="52">
        <v>0</v>
      </c>
      <c r="Q33" s="52">
        <v>0</v>
      </c>
      <c r="R33" s="54">
        <v>812</v>
      </c>
      <c r="S33" s="52">
        <v>116</v>
      </c>
      <c r="T33" s="52">
        <v>29</v>
      </c>
      <c r="U33" s="52">
        <v>159</v>
      </c>
    </row>
    <row r="34">
      <c r="C34" s="54" t="s">
        <v>19</v>
      </c>
      <c r="D34" s="54">
        <f>SUM(D6:D33)</f>
        <v/>
      </c>
      <c r="E34" s="54">
        <f>SUM(E6:E33)</f>
        <v/>
      </c>
      <c r="F34" s="54">
        <f>SUM(F6:F33)</f>
        <v/>
      </c>
      <c r="G34" s="54">
        <f>SUM(G6:G33)</f>
        <v/>
      </c>
      <c r="H34" s="54">
        <f>SUM(H6:H33)</f>
        <v/>
      </c>
      <c r="I34" s="54">
        <f>SUM(I6:I33)</f>
        <v/>
      </c>
      <c r="J34" s="54">
        <f>SUM(J6:J33)</f>
        <v/>
      </c>
      <c r="K34" s="54">
        <f>SUM(K6:K33)</f>
        <v/>
      </c>
      <c r="L34" s="54">
        <f>SUM(L6:L33)</f>
        <v/>
      </c>
      <c r="M34" s="54">
        <f>SUM(M6:M33)</f>
        <v/>
      </c>
      <c r="N34" s="54">
        <f>SUM(N6:N33)</f>
        <v/>
      </c>
      <c r="O34" s="54">
        <f>SUM(O6:O33)</f>
        <v/>
      </c>
      <c r="P34" s="54">
        <f>SUM(P6:P33)</f>
        <v/>
      </c>
      <c r="Q34" s="54">
        <f>SUM(Q6:Q33)</f>
        <v/>
      </c>
      <c r="R34" s="54">
        <f>SUM(R6:R33)</f>
        <v/>
      </c>
      <c r="S34" s="54">
        <v>947958</v>
      </c>
      <c r="T34" s="54">
        <f>SUM(T6:T33)</f>
        <v/>
      </c>
      <c r="U34" s="54">
        <f>SUM(U6:U33)</f>
        <v/>
      </c>
    </row>
  </sheetData>
  <mergeCells>
    <mergeCell ref="A1:U2"/>
    <mergeCell ref="A3:A5"/>
    <mergeCell ref="B3:B5"/>
    <mergeCell ref="C3:C5"/>
    <mergeCell ref="D3:L3"/>
    <mergeCell ref="M3:U3"/>
    <mergeCell ref="D4:D5"/>
    <mergeCell ref="E4:E5"/>
    <mergeCell ref="F4:H4"/>
    <mergeCell ref="I4:I5"/>
    <mergeCell ref="J4:J5"/>
    <mergeCell ref="K4:K5"/>
    <mergeCell ref="L4:L5"/>
    <mergeCell ref="M4:M5"/>
    <mergeCell ref="N4:N5"/>
    <mergeCell ref="O4:Q4"/>
    <mergeCell ref="R4:R5"/>
    <mergeCell ref="S4:S5"/>
    <mergeCell ref="T4:T5"/>
    <mergeCell ref="U4:U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2026-03-16T15:26:58Z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