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C33E80-741A-401E-889D-0C86828405A5}" xr6:coauthVersionLast="47" xr6:coauthVersionMax="47" xr10:uidLastSave="{00000000-0000-0000-0000-000000000000}"/>
  <bookViews>
    <workbookView xWindow="1656" yWindow="600" windowWidth="29064" windowHeight="16680" xr2:uid="{62D66AE7-7D74-4464-881F-4E28B4A2D9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</calcChain>
</file>

<file path=xl/sharedStrings.xml><?xml version="1.0" encoding="utf-8"?>
<sst xmlns="http://schemas.openxmlformats.org/spreadsheetml/2006/main" count="23" uniqueCount="22">
  <si>
    <t>匯入日期</t>
    <phoneticPr fontId="2" type="noConversion"/>
  </si>
  <si>
    <t>分提單號</t>
    <phoneticPr fontId="2" type="noConversion"/>
  </si>
  <si>
    <t>傳輸日</t>
    <phoneticPr fontId="2" type="noConversion"/>
  </si>
  <si>
    <t>出倉日</t>
    <phoneticPr fontId="2" type="noConversion"/>
  </si>
  <si>
    <t>MAIL</t>
    <phoneticPr fontId="2" type="noConversion"/>
  </si>
  <si>
    <t>報關類別</t>
    <phoneticPr fontId="2" type="noConversion"/>
  </si>
  <si>
    <t>倉儲</t>
    <phoneticPr fontId="2" type="noConversion"/>
  </si>
  <si>
    <t>材積數</t>
    <phoneticPr fontId="2" type="noConversion"/>
  </si>
  <si>
    <t>滯報費減免</t>
    <phoneticPr fontId="2" type="noConversion"/>
  </si>
  <si>
    <t>報關費2</t>
    <phoneticPr fontId="2" type="noConversion"/>
  </si>
  <si>
    <t>報單收費方式</t>
    <phoneticPr fontId="2" type="noConversion"/>
  </si>
  <si>
    <t>稅金付款人</t>
    <phoneticPr fontId="2" type="noConversion"/>
  </si>
  <si>
    <t>客戶</t>
    <phoneticPr fontId="2" type="noConversion"/>
  </si>
  <si>
    <t>實際交派日</t>
    <phoneticPr fontId="2" type="noConversion"/>
  </si>
  <si>
    <t>備註</t>
    <phoneticPr fontId="2" type="noConversion"/>
  </si>
  <si>
    <t>移倉</t>
  </si>
  <si>
    <t>代收</t>
  </si>
  <si>
    <t>三聯稅單</t>
    <phoneticPr fontId="2" type="noConversion"/>
  </si>
  <si>
    <t>四聯稅單</t>
    <phoneticPr fontId="2" type="noConversion"/>
  </si>
  <si>
    <t>倉租天數減免</t>
    <phoneticPr fontId="2" type="noConversion"/>
  </si>
  <si>
    <t>cuteqinqin520@163.com</t>
  </si>
  <si>
    <t>高雄郵聯(億興)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</si>
</sst>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0" borderId="1" xfId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n881006@gmail.com,ok351035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73C-B5EF-4A7B-A3DA-1EFF0F2966FD}">
  <dimension ref="A1:R2"/>
  <sheetViews>
    <sheetView tabSelected="1" workbookViewId="0">
      <selection activeCell="A2" sqref="A2"/>
    </sheetView>
  </sheetViews>
  <sheetFormatPr defaultRowHeight="16.2"/>
  <cols>
    <col min="1" max="1" width="13.109375" customWidth="1"/>
    <col min="2" max="2" width="15.33203125" customWidth="1"/>
    <col min="3" max="3" width="11.109375" customWidth="1"/>
    <col min="4" max="4" width="15.21875" customWidth="1"/>
    <col min="5" max="5" width="13.88671875" customWidth="1"/>
    <col min="11" max="11" width="17.21875" customWidth="1"/>
    <col min="12" max="12" width="16.33203125" customWidth="1"/>
    <col min="17" max="17" width="16.77734375" customWidth="1"/>
  </cols>
  <sheetData>
    <row r="1" spans="1: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17</v>
      </c>
      <c r="J1" s="5" t="s">
        <v>18</v>
      </c>
      <c r="K1" s="2" t="s">
        <v>8</v>
      </c>
      <c r="L1" s="6" t="s">
        <v>19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</row>
    <row r="2" spans="1:18" s="9" customFormat="1">
      <c r="A2" s="3">
        <v>45240</v>
      </c>
      <c r="B2" s="4">
        <v>7221598355</v>
      </c>
      <c r="C2" s="3">
        <v>45237</v>
      </c>
      <c r="D2" s="3">
        <v>45240</v>
      </c>
      <c r="E2" s="7" t="s">
        <v>20</v>
      </c>
      <c r="F2" s="4" t="s">
        <v>15</v>
      </c>
      <c r="G2" s="4" t="s">
        <v>21</v>
      </c>
      <c r="H2" s="4">
        <f t="array" ref="H2">_xlfn.IFS(AND(F2="X2",G2="高雄郵聯(全旺)"),0,AND(F2="X3",G2="高雄郵聯(全旺)"),0,AND(F2="G1",G2="高雄郵聯(全旺)"),0,AND(F2="移倉",G2="高雄郵聯(全旺)"),1,AND(F2="轉G1",G2="高雄郵聯(全旺)"),0,AND(F2="轉移倉",G2="高雄郵聯(全旺)"),1,AND(F2="X2",G2="高雄郵聯(億興)"),0,AND(F2="X3",G2="高雄郵聯(億興)"),0,AND(F2="G1",G2="高雄郵聯(億興)"),0,AND(F2="移倉",G2="高雄郵聯(億興)"),1,AND(F2="轉G1",G2="高雄郵聯(億興)"),0,AND(F2="轉移倉",G2="高雄郵聯(億興)"),1,AND(F2="X2",G2="TPCT"),0,AND(F2="X3",G2="TPCT"),0,AND(F2="G1",G2="TPCT"),0,AND(F2="移倉",G2="TPCT"),"請填入",AND(F2="轉G1",G2="TPCT"),0,AND(F2="轉移倉",G2="TPCT"),"請填入",TRUE,"錯誤")</f>
        <v>1</v>
      </c>
      <c r="I2" s="4">
        <v>0</v>
      </c>
      <c r="J2" s="4">
        <v>963</v>
      </c>
      <c r="K2" s="4">
        <v>0</v>
      </c>
      <c r="L2" s="8">
        <v>3</v>
      </c>
      <c r="M2" s="4">
        <v>0</v>
      </c>
      <c r="N2" s="4" t="s">
        <v>16</v>
      </c>
      <c r="O2" s="4" t="s">
        <v>16</v>
      </c>
      <c r="P2" s="4"/>
      <c r="Q2" s="3">
        <v>45240</v>
      </c>
      <c r="R2" s="4"/>
    </row>
  </sheetData>
  <phoneticPr fontId="2" type="noConversion"/>
  <hyperlinks>
    <hyperlink ref="E2" r:id="rId1" display="lun881006@gmail.com,ok35103510@gmail.com" xr:uid="{99EE61CD-1B9D-4654-8FFB-1938FBD11FF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2023-10-26T15:29:58Z</dcterms:created>
  <dcterms:modified xsi:type="dcterms:W3CDTF">2025-06-22T13:38:30Z</dcterms:modified>
</cp:coreProperties>
</file>