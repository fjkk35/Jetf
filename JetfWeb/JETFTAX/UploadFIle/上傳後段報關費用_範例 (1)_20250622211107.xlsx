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B73225C-2AAB-4AF2-A112-A7E872BE4C42}" xr6:coauthVersionLast="36" xr6:coauthVersionMax="36" xr10:uidLastSave="{00000000-0000-0000-0000-000000000000}"/>
  <bookViews>
    <workbookView xWindow="0" yWindow="0" windowWidth="21570" windowHeight="7935" xr2:uid="{62D66AE7-7D74-4464-881F-4E28B4A2D9C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 a="1"/>
  <c r="H10" i="1" s="1"/>
  <c r="H9" i="1" a="1"/>
  <c r="H9" i="1" s="1"/>
  <c r="H8" i="1" a="1"/>
  <c r="H8" i="1" s="1"/>
  <c r="H7" i="1" a="1"/>
  <c r="H7" i="1" s="1"/>
  <c r="H6" i="1" a="1"/>
  <c r="H6" i="1" s="1"/>
  <c r="H5" i="1" a="1"/>
  <c r="H5" i="1" s="1"/>
  <c r="H4" i="1" a="1"/>
  <c r="H4" i="1" s="1"/>
  <c r="H3" i="1" a="1"/>
  <c r="H3" i="1" s="1"/>
  <c r="H2" i="1" a="1"/>
  <c r="H2" i="1" s="1"/>
</calcChain>
</file>

<file path=xl/sharedStrings.xml><?xml version="1.0" encoding="utf-8"?>
<sst xmlns="http://schemas.openxmlformats.org/spreadsheetml/2006/main" count="118" uniqueCount="46">
  <si>
    <t>匯入日期</t>
    <phoneticPr fontId="2" type="noConversion"/>
  </si>
  <si>
    <t>分提單號</t>
    <phoneticPr fontId="2" type="noConversion"/>
  </si>
  <si>
    <t>傳輸日</t>
    <phoneticPr fontId="2" type="noConversion"/>
  </si>
  <si>
    <t>出倉日</t>
    <phoneticPr fontId="2" type="noConversion"/>
  </si>
  <si>
    <t>MAIL</t>
    <phoneticPr fontId="2" type="noConversion"/>
  </si>
  <si>
    <t>報關類別</t>
    <phoneticPr fontId="2" type="noConversion"/>
  </si>
  <si>
    <t>倉儲</t>
    <phoneticPr fontId="2" type="noConversion"/>
  </si>
  <si>
    <t>材積數</t>
    <phoneticPr fontId="2" type="noConversion"/>
  </si>
  <si>
    <t>滯報費減免</t>
    <phoneticPr fontId="2" type="noConversion"/>
  </si>
  <si>
    <t>報關費2</t>
    <phoneticPr fontId="2" type="noConversion"/>
  </si>
  <si>
    <t>報單收費方式</t>
    <phoneticPr fontId="2" type="noConversion"/>
  </si>
  <si>
    <t>稅金付款人</t>
    <phoneticPr fontId="2" type="noConversion"/>
  </si>
  <si>
    <t>客戶</t>
    <phoneticPr fontId="2" type="noConversion"/>
  </si>
  <si>
    <t>實際交派日</t>
    <phoneticPr fontId="2" type="noConversion"/>
  </si>
  <si>
    <t>備註</t>
    <phoneticPr fontId="2" type="noConversion"/>
  </si>
  <si>
    <t>移倉</t>
  </si>
  <si>
    <t>TPCT</t>
  </si>
  <si>
    <t>代收</t>
  </si>
  <si>
    <t>三聯稅單</t>
    <phoneticPr fontId="2" type="noConversion"/>
  </si>
  <si>
    <t>四聯稅單</t>
    <phoneticPr fontId="2" type="noConversion"/>
  </si>
  <si>
    <t>倉租天數減免</t>
    <phoneticPr fontId="2" type="noConversion"/>
  </si>
  <si>
    <t>cuteqinqin520@163.com</t>
  </si>
  <si>
    <t>高雄郵聯(億興)</t>
  </si>
  <si>
    <t>kikimanday@yahoo.com.tw</t>
  </si>
  <si>
    <t>G1</t>
  </si>
  <si>
    <t>高雄郵聯(全旺)</t>
  </si>
  <si>
    <t>harlinliu@gmail.com</t>
  </si>
  <si>
    <t>cat760913@icloud.com</t>
  </si>
  <si>
    <t>轉G1</t>
  </si>
  <si>
    <t>s9611111@gmail.com</t>
  </si>
  <si>
    <t>aa0952161515@gmail.com</t>
  </si>
  <si>
    <t>0H4FZ5M4</t>
  </si>
  <si>
    <t>吳 恰恰 &lt;doallmydreams3@yahoo.com.tw&gt;;覆H ao &lt;qweasd607tw@gmail.com&gt;;maxchang19960426@gmail.com</t>
    <phoneticPr fontId="2" type="noConversion"/>
  </si>
  <si>
    <t>0H4FZ5KG</t>
  </si>
  <si>
    <t>吳 恰恰 &lt;doallmydreams3@yahoo.com.tw&gt;;覆H ao &lt;qweasd607tw@gmail.com&gt;;maxchang19960426@gmail.com</t>
  </si>
  <si>
    <t>0H4FXMGM</t>
  </si>
  <si>
    <t>0H4F158K</t>
  </si>
  <si>
    <t>clover3v3f3d@gmail.com</t>
  </si>
  <si>
    <t>0H4FM5V1</t>
  </si>
  <si>
    <t>jyh@twjyh.com.tw/cns5288@gmail.com</t>
  </si>
  <si>
    <t>k.hsuanke@gmail.com</t>
  </si>
  <si>
    <t>3q7577@gmail.com</t>
  </si>
  <si>
    <t>vivian8906012000@gmail.com</t>
  </si>
  <si>
    <t>jade@jurassic.com.tw</t>
  </si>
  <si>
    <t>aihome36@gmail.com</t>
  </si>
  <si>
    <t>mars70606@gmail.com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</si>
</sst>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rgb="FFFF0000"/>
      <name val="新細明體"/>
      <family val="2"/>
      <charset val="136"/>
      <scheme val="minor"/>
    </font>
    <font>
      <u/>
      <sz val="12"/>
      <color rgb="FFFF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4" fillId="0" borderId="1" xfId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1" xfId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0" fontId="3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urple@gding.com.tw,a1974@gding.com.tw,a0640@gding.com.tw,a3127@gding.com.tw" TargetMode="External"/><Relationship Id="rId2" Type="http://schemas.openxmlformats.org/officeDocument/2006/relationships/hyperlink" Target="mailto:swlin106@gmail.com,avery19910605@gmail.com" TargetMode="External"/><Relationship Id="rId1" Type="http://schemas.openxmlformats.org/officeDocument/2006/relationships/hyperlink" Target="mailto:a0903109851@icloud.com,a0903109851@icloud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un881006@gmail.com,ok351035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E73C-B5EF-4A7B-A3DA-1EFF0F2966FD}">
  <dimension ref="A1:R20"/>
  <sheetViews>
    <sheetView tabSelected="1" workbookViewId="0">
      <selection activeCell="O25" sqref="O25"/>
    </sheetView>
  </sheetViews>
  <sheetFormatPr defaultRowHeight="16.5"/>
  <cols>
    <col min="1" max="1" width="13.125" customWidth="1"/>
    <col min="2" max="2" width="15.375" customWidth="1"/>
    <col min="3" max="3" width="11.125" customWidth="1"/>
    <col min="4" max="4" width="15.25" customWidth="1"/>
    <col min="5" max="5" width="13.875" customWidth="1"/>
    <col min="11" max="11" width="17.25" customWidth="1"/>
    <col min="12" max="12" width="16.375" customWidth="1"/>
    <col min="17" max="17" width="16.75" customWidth="1"/>
  </cols>
  <sheetData>
    <row r="1" spans="1:18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18</v>
      </c>
      <c r="J1" s="5" t="s">
        <v>19</v>
      </c>
      <c r="K1" s="2" t="s">
        <v>8</v>
      </c>
      <c r="L1" s="6" t="s">
        <v>20</v>
      </c>
      <c r="M1" s="2" t="s">
        <v>9</v>
      </c>
      <c r="N1" s="2" t="s">
        <v>10</v>
      </c>
      <c r="O1" s="2" t="s">
        <v>11</v>
      </c>
      <c r="P1" s="2" t="s">
        <v>12</v>
      </c>
      <c r="Q1" s="1" t="s">
        <v>13</v>
      </c>
      <c r="R1" s="2" t="s">
        <v>14</v>
      </c>
    </row>
    <row r="2" spans="1:18" s="9" customFormat="1">
      <c r="A2" s="3">
        <v>45240</v>
      </c>
      <c r="B2" s="4">
        <v>7221598355</v>
      </c>
      <c r="C2" s="3">
        <v>45237</v>
      </c>
      <c r="D2" s="3">
        <v>45240</v>
      </c>
      <c r="E2" s="7" t="s">
        <v>21</v>
      </c>
      <c r="F2" s="4" t="s">
        <v>15</v>
      </c>
      <c r="G2" s="4" t="s">
        <v>22</v>
      </c>
      <c r="H2" s="4">
        <f t="array" ref="H2">_xlfn.IFS(AND(F2="X2",G2="高雄郵聯(全旺)"),0,AND(F2="X3",G2="高雄郵聯(全旺)"),0,AND(F2="G1",G2="高雄郵聯(全旺)"),0,AND(F2="移倉",G2="高雄郵聯(全旺)"),1,AND(F2="轉G1",G2="高雄郵聯(全旺)"),0,AND(F2="轉移倉",G2="高雄郵聯(全旺)"),1,AND(F2="X2",G2="高雄郵聯(億興)"),0,AND(F2="X3",G2="高雄郵聯(億興)"),0,AND(F2="G1",G2="高雄郵聯(億興)"),0,AND(F2="移倉",G2="高雄郵聯(億興)"),1,AND(F2="轉G1",G2="高雄郵聯(億興)"),0,AND(F2="轉移倉",G2="高雄郵聯(億興)"),1,AND(F2="X2",G2="TPCT"),0,AND(F2="X3",G2="TPCT"),0,AND(F2="G1",G2="TPCT"),0,AND(F2="移倉",G2="TPCT"),"請填入",AND(F2="轉G1",G2="TPCT"),0,AND(F2="轉移倉",G2="TPCT"),"請填入",TRUE,"錯誤")</f>
        <v>1</v>
      </c>
      <c r="I2" s="4">
        <v>0</v>
      </c>
      <c r="J2" s="4">
        <v>963</v>
      </c>
      <c r="K2" s="4">
        <v>0</v>
      </c>
      <c r="L2" s="8">
        <v>3</v>
      </c>
      <c r="M2" s="4">
        <v>0</v>
      </c>
      <c r="N2" s="4" t="s">
        <v>17</v>
      </c>
      <c r="O2" s="4" t="s">
        <v>17</v>
      </c>
      <c r="P2" s="4"/>
      <c r="Q2" s="3">
        <v>45240</v>
      </c>
      <c r="R2" s="4"/>
    </row>
    <row r="3" spans="1:18" s="9" customFormat="1">
      <c r="A3" s="3">
        <v>45240</v>
      </c>
      <c r="B3" s="4">
        <v>7949331261</v>
      </c>
      <c r="C3" s="3">
        <v>45238</v>
      </c>
      <c r="D3" s="3">
        <v>45240</v>
      </c>
      <c r="E3" s="7" t="s">
        <v>23</v>
      </c>
      <c r="F3" s="4" t="s">
        <v>24</v>
      </c>
      <c r="G3" s="4" t="s">
        <v>25</v>
      </c>
      <c r="H3" s="4">
        <f t="array" ref="H3">_xlfn.IFS(AND(F3="X2",G3="高雄郵聯(全旺)"),0,AND(F3="X3",G3="高雄郵聯(全旺)"),0,AND(F3="G1",G3="高雄郵聯(全旺)"),0,AND(F3="移倉",G3="高雄郵聯(全旺)"),1,AND(F3="轉G1",G3="高雄郵聯(全旺)"),0,AND(F3="轉移倉",G3="高雄郵聯(全旺)"),1,AND(F3="X2",G3="高雄郵聯(億興)"),0,AND(F3="X3",G3="高雄郵聯(億興)"),0,AND(F3="G1",G3="高雄郵聯(億興)"),0,AND(F3="移倉",G3="高雄郵聯(億興)"),1,AND(F3="轉G1",G3="高雄郵聯(億興)"),0,AND(F3="轉移倉",G3="高雄郵聯(億興)"),1,AND(F3="X2",G3="TPCT"),0,AND(F3="X3",G3="TPCT"),0,AND(F3="G1",G3="TPCT"),0,AND(F3="移倉",G3="TPCT"),"請填入",AND(F3="轉G1",G3="TPCT"),0,AND(F3="轉移倉",G3="TPCT"),"請填入",TRUE,"錯誤")</f>
        <v>0</v>
      </c>
      <c r="I3" s="4">
        <v>0</v>
      </c>
      <c r="J3" s="4">
        <v>0</v>
      </c>
      <c r="K3" s="4">
        <v>0</v>
      </c>
      <c r="L3" s="8">
        <v>0</v>
      </c>
      <c r="M3" s="4">
        <v>0</v>
      </c>
      <c r="N3" s="4" t="s">
        <v>17</v>
      </c>
      <c r="O3" s="4" t="s">
        <v>17</v>
      </c>
      <c r="P3" s="4"/>
      <c r="Q3" s="3">
        <v>45240</v>
      </c>
      <c r="R3" s="4"/>
    </row>
    <row r="4" spans="1:18" s="9" customFormat="1">
      <c r="A4" s="3">
        <v>45240</v>
      </c>
      <c r="B4" s="4">
        <v>7221633845</v>
      </c>
      <c r="C4" s="3">
        <v>45237</v>
      </c>
      <c r="D4" s="3">
        <v>45240</v>
      </c>
      <c r="E4" s="7" t="s">
        <v>26</v>
      </c>
      <c r="F4" s="4" t="s">
        <v>24</v>
      </c>
      <c r="G4" s="4" t="s">
        <v>25</v>
      </c>
      <c r="H4" s="4">
        <f t="array" ref="H4">_xlfn.IFS(AND(F4="X2",G4="高雄郵聯(全旺)"),0,AND(F4="X3",G4="高雄郵聯(全旺)"),0,AND(F4="G1",G4="高雄郵聯(全旺)"),0,AND(F4="移倉",G4="高雄郵聯(全旺)"),1,AND(F4="轉G1",G4="高雄郵聯(全旺)"),0,AND(F4="轉移倉",G4="高雄郵聯(全旺)"),1,AND(F4="X2",G4="高雄郵聯(億興)"),0,AND(F4="X3",G4="高雄郵聯(億興)"),0,AND(F4="G1",G4="高雄郵聯(億興)"),0,AND(F4="移倉",G4="高雄郵聯(億興)"),1,AND(F4="轉G1",G4="高雄郵聯(億興)"),0,AND(F4="轉移倉",G4="高雄郵聯(億興)"),1,AND(F4="X2",G4="TPCT"),0,AND(F4="X3",G4="TPCT"),0,AND(F4="G1",G4="TPCT"),0,AND(F4="移倉",G4="TPCT"),"請填入",AND(F4="轉G1",G4="TPCT"),0,AND(F4="轉移倉",G4="TPCT"),"請填入",TRUE,"錯誤")</f>
        <v>0</v>
      </c>
      <c r="I4" s="4">
        <v>0</v>
      </c>
      <c r="J4" s="4">
        <v>1704</v>
      </c>
      <c r="K4" s="4">
        <v>0</v>
      </c>
      <c r="L4" s="8">
        <v>0</v>
      </c>
      <c r="M4" s="4">
        <v>0</v>
      </c>
      <c r="N4" s="4" t="s">
        <v>17</v>
      </c>
      <c r="O4" s="4" t="s">
        <v>17</v>
      </c>
      <c r="P4" s="4"/>
      <c r="Q4" s="3">
        <v>45240</v>
      </c>
      <c r="R4" s="4"/>
    </row>
    <row r="5" spans="1:18" s="9" customFormat="1">
      <c r="A5" s="3">
        <v>45240</v>
      </c>
      <c r="B5" s="4">
        <v>7945199883</v>
      </c>
      <c r="C5" s="3">
        <v>45238</v>
      </c>
      <c r="D5" s="3">
        <v>45240</v>
      </c>
      <c r="E5" s="7" t="s">
        <v>27</v>
      </c>
      <c r="F5" s="4" t="s">
        <v>28</v>
      </c>
      <c r="G5" s="4" t="s">
        <v>25</v>
      </c>
      <c r="H5" s="4">
        <f t="array" ref="H5">_xlfn.IFS(AND(F5="X2",G5="高雄郵聯(全旺)"),0,AND(F5="X3",G5="高雄郵聯(全旺)"),0,AND(F5="G1",G5="高雄郵聯(全旺)"),0,AND(F5="移倉",G5="高雄郵聯(全旺)"),1,AND(F5="轉G1",G5="高雄郵聯(全旺)"),0,AND(F5="轉移倉",G5="高雄郵聯(全旺)"),1,AND(F5="X2",G5="高雄郵聯(億興)"),0,AND(F5="X3",G5="高雄郵聯(億興)"),0,AND(F5="G1",G5="高雄郵聯(億興)"),0,AND(F5="移倉",G5="高雄郵聯(億興)"),1,AND(F5="轉G1",G5="高雄郵聯(億興)"),0,AND(F5="轉移倉",G5="高雄郵聯(億興)"),1,AND(F5="X2",G5="TPCT"),0,AND(F5="X3",G5="TPCT"),0,AND(F5="G1",G5="TPCT"),0,AND(F5="移倉",G5="TPCT"),"請填入",AND(F5="轉G1",G5="TPCT"),0,AND(F5="轉移倉",G5="TPCT"),"請填入",TRUE,"錯誤")</f>
        <v>0</v>
      </c>
      <c r="I5" s="4">
        <v>0</v>
      </c>
      <c r="J5" s="4">
        <v>1296</v>
      </c>
      <c r="K5" s="4">
        <v>0</v>
      </c>
      <c r="L5" s="8">
        <v>0</v>
      </c>
      <c r="M5" s="4">
        <v>0</v>
      </c>
      <c r="N5" s="4" t="s">
        <v>17</v>
      </c>
      <c r="O5" s="4" t="s">
        <v>17</v>
      </c>
      <c r="P5" s="4"/>
      <c r="Q5" s="3">
        <v>45240</v>
      </c>
      <c r="R5" s="4"/>
    </row>
    <row r="6" spans="1:18" s="9" customFormat="1">
      <c r="A6" s="3">
        <v>45240</v>
      </c>
      <c r="B6" s="4">
        <v>7947638381</v>
      </c>
      <c r="C6" s="3">
        <v>45238</v>
      </c>
      <c r="D6" s="3">
        <v>45240</v>
      </c>
      <c r="E6" s="7" t="s">
        <v>29</v>
      </c>
      <c r="F6" s="4" t="s">
        <v>28</v>
      </c>
      <c r="G6" s="4" t="s">
        <v>25</v>
      </c>
      <c r="H6" s="4">
        <f t="array" ref="H6">_xlfn.IFS(AND(F6="X2",G6="高雄郵聯(全旺)"),0,AND(F6="X3",G6="高雄郵聯(全旺)"),0,AND(F6="G1",G6="高雄郵聯(全旺)"),0,AND(F6="移倉",G6="高雄郵聯(全旺)"),1,AND(F6="轉G1",G6="高雄郵聯(全旺)"),0,AND(F6="轉移倉",G6="高雄郵聯(全旺)"),1,AND(F6="X2",G6="高雄郵聯(億興)"),0,AND(F6="X3",G6="高雄郵聯(億興)"),0,AND(F6="G1",G6="高雄郵聯(億興)"),0,AND(F6="移倉",G6="高雄郵聯(億興)"),1,AND(F6="轉G1",G6="高雄郵聯(億興)"),0,AND(F6="轉移倉",G6="高雄郵聯(億興)"),1,AND(F6="X2",G6="TPCT"),0,AND(F6="X3",G6="TPCT"),0,AND(F6="G1",G6="TPCT"),0,AND(F6="移倉",G6="TPCT"),"請填入",AND(F6="轉G1",G6="TPCT"),0,AND(F6="轉移倉",G6="TPCT"),"請填入",TRUE,"錯誤")</f>
        <v>0</v>
      </c>
      <c r="I6" s="4">
        <v>324</v>
      </c>
      <c r="J6" s="4">
        <v>952</v>
      </c>
      <c r="K6" s="4">
        <v>0</v>
      </c>
      <c r="L6" s="8">
        <v>0</v>
      </c>
      <c r="M6" s="4">
        <v>0</v>
      </c>
      <c r="N6" s="4" t="s">
        <v>17</v>
      </c>
      <c r="O6" s="4" t="s">
        <v>17</v>
      </c>
      <c r="P6" s="4"/>
      <c r="Q6" s="3">
        <v>45240</v>
      </c>
      <c r="R6" s="4"/>
    </row>
    <row r="7" spans="1:18" s="9" customFormat="1">
      <c r="A7" s="3">
        <v>45240</v>
      </c>
      <c r="B7" s="4">
        <v>7947983945</v>
      </c>
      <c r="C7" s="3">
        <v>45238</v>
      </c>
      <c r="D7" s="3">
        <v>45240</v>
      </c>
      <c r="E7" s="7" t="s">
        <v>30</v>
      </c>
      <c r="F7" s="4" t="s">
        <v>28</v>
      </c>
      <c r="G7" s="4" t="s">
        <v>25</v>
      </c>
      <c r="H7" s="4">
        <f t="array" ref="H7">_xlfn.IFS(AND(F7="X2",G7="高雄郵聯(全旺)"),0,AND(F7="X3",G7="高雄郵聯(全旺)"),0,AND(F7="G1",G7="高雄郵聯(全旺)"),0,AND(F7="移倉",G7="高雄郵聯(全旺)"),1,AND(F7="轉G1",G7="高雄郵聯(全旺)"),0,AND(F7="轉移倉",G7="高雄郵聯(全旺)"),1,AND(F7="X2",G7="高雄郵聯(億興)"),0,AND(F7="X3",G7="高雄郵聯(億興)"),0,AND(F7="G1",G7="高雄郵聯(億興)"),0,AND(F7="移倉",G7="高雄郵聯(億興)"),1,AND(F7="轉G1",G7="高雄郵聯(億興)"),0,AND(F7="轉移倉",G7="高雄郵聯(億興)"),1,AND(F7="X2",G7="TPCT"),0,AND(F7="X3",G7="TPCT"),0,AND(F7="G1",G7="TPCT"),0,AND(F7="移倉",G7="TPCT"),"請填入",AND(F7="轉G1",G7="TPCT"),0,AND(F7="轉移倉",G7="TPCT"),"請填入",TRUE,"錯誤")</f>
        <v>0</v>
      </c>
      <c r="I7" s="4">
        <v>195</v>
      </c>
      <c r="J7" s="4">
        <v>1124</v>
      </c>
      <c r="K7" s="4">
        <v>0</v>
      </c>
      <c r="L7" s="8">
        <v>0</v>
      </c>
      <c r="M7" s="4">
        <v>0</v>
      </c>
      <c r="N7" s="4" t="s">
        <v>17</v>
      </c>
      <c r="O7" s="4" t="s">
        <v>17</v>
      </c>
      <c r="P7" s="4"/>
      <c r="Q7" s="3">
        <v>45240</v>
      </c>
      <c r="R7" s="4"/>
    </row>
    <row r="8" spans="1:18" s="9" customFormat="1">
      <c r="A8" s="3">
        <v>45240</v>
      </c>
      <c r="B8" s="4" t="s">
        <v>31</v>
      </c>
      <c r="C8" s="3">
        <v>45211</v>
      </c>
      <c r="D8" s="3">
        <v>45240</v>
      </c>
      <c r="E8" s="10" t="s">
        <v>32</v>
      </c>
      <c r="F8" s="4" t="s">
        <v>28</v>
      </c>
      <c r="G8" s="4" t="s">
        <v>16</v>
      </c>
      <c r="H8" s="4">
        <f t="array" ref="H8">_xlfn.IFS(AND(F8="X2",G8="高雄郵聯(全旺)"),0,AND(F8="X3",G8="高雄郵聯(全旺)"),0,AND(F8="G1",G8="高雄郵聯(全旺)"),0,AND(F8="移倉",G8="高雄郵聯(全旺)"),1,AND(F8="轉G1",G8="高雄郵聯(全旺)"),0,AND(F8="轉移倉",G8="高雄郵聯(全旺)"),1,AND(F8="X2",G8="高雄郵聯(億興)"),0,AND(F8="X3",G8="高雄郵聯(億興)"),0,AND(F8="G1",G8="高雄郵聯(億興)"),0,AND(F8="移倉",G8="高雄郵聯(億興)"),1,AND(F8="轉G1",G8="高雄郵聯(億興)"),0,AND(F8="轉移倉",G8="高雄郵聯(億興)"),1,AND(F8="X2",G8="TPCT"),0,AND(F8="X3",G8="TPCT"),0,AND(F8="G1",G8="TPCT"),0,AND(F8="移倉",G8="TPCT"),"請填入",AND(F8="轉G1",G8="TPCT"),0,AND(F8="轉移倉",G8="TPCT"),"請填入",TRUE,"錯誤")</f>
        <v>0</v>
      </c>
      <c r="I8" s="4">
        <v>221</v>
      </c>
      <c r="J8" s="4">
        <v>2858</v>
      </c>
      <c r="K8" s="4">
        <v>0</v>
      </c>
      <c r="L8" s="8">
        <v>0</v>
      </c>
      <c r="M8" s="4">
        <v>0</v>
      </c>
      <c r="N8" s="4" t="s">
        <v>17</v>
      </c>
      <c r="O8" s="4" t="s">
        <v>17</v>
      </c>
      <c r="P8" s="4"/>
      <c r="Q8" s="3">
        <v>45240</v>
      </c>
      <c r="R8" s="4"/>
    </row>
    <row r="9" spans="1:18" s="9" customFormat="1">
      <c r="A9" s="3">
        <v>45240</v>
      </c>
      <c r="B9" s="4" t="s">
        <v>33</v>
      </c>
      <c r="C9" s="3">
        <v>45211</v>
      </c>
      <c r="D9" s="3">
        <v>45240</v>
      </c>
      <c r="E9" s="11" t="s">
        <v>34</v>
      </c>
      <c r="F9" s="4" t="s">
        <v>28</v>
      </c>
      <c r="G9" s="4" t="s">
        <v>16</v>
      </c>
      <c r="H9" s="4">
        <f t="array" ref="H9">_xlfn.IFS(AND(F9="X2",G9="高雄郵聯(全旺)"),0,AND(F9="X3",G9="高雄郵聯(全旺)"),0,AND(F9="G1",G9="高雄郵聯(全旺)"),0,AND(F9="移倉",G9="高雄郵聯(全旺)"),1,AND(F9="轉G1",G9="高雄郵聯(全旺)"),0,AND(F9="轉移倉",G9="高雄郵聯(全旺)"),1,AND(F9="X2",G9="高雄郵聯(億興)"),0,AND(F9="X3",G9="高雄郵聯(億興)"),0,AND(F9="G1",G9="高雄郵聯(億興)"),0,AND(F9="移倉",G9="高雄郵聯(億興)"),1,AND(F9="轉G1",G9="高雄郵聯(億興)"),0,AND(F9="轉移倉",G9="高雄郵聯(億興)"),1,AND(F9="X2",G9="TPCT"),0,AND(F9="X3",G9="TPCT"),0,AND(F9="G1",G9="TPCT"),0,AND(F9="移倉",G9="TPCT"),"請填入",AND(F9="轉G1",G9="TPCT"),0,AND(F9="轉移倉",G9="TPCT"),"請填入",TRUE,"錯誤")</f>
        <v>0</v>
      </c>
      <c r="I9" s="4">
        <v>196</v>
      </c>
      <c r="J9" s="4">
        <v>2858</v>
      </c>
      <c r="K9" s="4">
        <v>0</v>
      </c>
      <c r="L9" s="8">
        <v>0</v>
      </c>
      <c r="M9" s="4">
        <v>0</v>
      </c>
      <c r="N9" s="4" t="s">
        <v>17</v>
      </c>
      <c r="O9" s="4" t="s">
        <v>17</v>
      </c>
      <c r="P9" s="4"/>
      <c r="Q9" s="3">
        <v>45240</v>
      </c>
      <c r="R9" s="4"/>
    </row>
    <row r="10" spans="1:18" s="9" customFormat="1">
      <c r="A10" s="3">
        <v>45240</v>
      </c>
      <c r="B10" s="4" t="s">
        <v>35</v>
      </c>
      <c r="C10" s="3">
        <v>45211</v>
      </c>
      <c r="D10" s="3">
        <v>45240</v>
      </c>
      <c r="E10" s="11" t="s">
        <v>34</v>
      </c>
      <c r="F10" s="4" t="s">
        <v>28</v>
      </c>
      <c r="G10" s="4" t="s">
        <v>16</v>
      </c>
      <c r="H10" s="4">
        <f t="array" ref="H10">_xlfn.IFS(AND(F10="X2",G10="高雄郵聯(全旺)"),0,AND(F10="X3",G10="高雄郵聯(全旺)"),0,AND(F10="G1",G10="高雄郵聯(全旺)"),0,AND(F10="移倉",G10="高雄郵聯(全旺)"),1,AND(F10="轉G1",G10="高雄郵聯(全旺)"),0,AND(F10="轉移倉",G10="高雄郵聯(全旺)"),1,AND(F10="X2",G10="高雄郵聯(億興)"),0,AND(F10="X3",G10="高雄郵聯(億興)"),0,AND(F10="G1",G10="高雄郵聯(億興)"),0,AND(F10="移倉",G10="高雄郵聯(億興)"),1,AND(F10="轉G1",G10="高雄郵聯(億興)"),0,AND(F10="轉移倉",G10="高雄郵聯(億興)"),1,AND(F10="X2",G10="TPCT"),0,AND(F10="X3",G10="TPCT"),0,AND(F10="G1",G10="TPCT"),0,AND(F10="移倉",G10="TPCT"),"請填入",AND(F10="轉G1",G10="TPCT"),0,AND(F10="轉移倉",G10="TPCT"),"請填入",TRUE,"錯誤")</f>
        <v>0</v>
      </c>
      <c r="I10" s="4">
        <v>191</v>
      </c>
      <c r="J10" s="4">
        <v>2858</v>
      </c>
      <c r="K10" s="4">
        <v>0</v>
      </c>
      <c r="L10" s="8">
        <v>0</v>
      </c>
      <c r="M10" s="4">
        <v>0</v>
      </c>
      <c r="N10" s="4" t="s">
        <v>17</v>
      </c>
      <c r="O10" s="4" t="s">
        <v>17</v>
      </c>
      <c r="P10" s="4"/>
      <c r="Q10" s="3">
        <v>45240</v>
      </c>
      <c r="R10" s="4"/>
    </row>
    <row r="11" spans="1:18" s="9" customFormat="1">
      <c r="A11" s="3">
        <v>45240</v>
      </c>
      <c r="B11" s="4" t="s">
        <v>36</v>
      </c>
      <c r="C11" s="3">
        <v>45159</v>
      </c>
      <c r="D11" s="3">
        <v>45240</v>
      </c>
      <c r="E11" s="7" t="s">
        <v>37</v>
      </c>
      <c r="F11" s="4" t="s">
        <v>15</v>
      </c>
      <c r="G11" s="4" t="s">
        <v>16</v>
      </c>
      <c r="H11" s="4">
        <v>1</v>
      </c>
      <c r="I11" s="4">
        <v>0</v>
      </c>
      <c r="J11" s="4">
        <v>1746</v>
      </c>
      <c r="K11" s="4">
        <v>0</v>
      </c>
      <c r="L11" s="8">
        <v>0</v>
      </c>
      <c r="M11" s="4">
        <v>50</v>
      </c>
      <c r="N11" s="4" t="s">
        <v>17</v>
      </c>
      <c r="O11" s="4" t="s">
        <v>17</v>
      </c>
      <c r="P11" s="4"/>
      <c r="Q11" s="3">
        <v>45240</v>
      </c>
      <c r="R11" s="4"/>
    </row>
    <row r="12" spans="1:18" s="9" customFormat="1">
      <c r="A12" s="3">
        <v>45240</v>
      </c>
      <c r="B12" s="4" t="s">
        <v>38</v>
      </c>
      <c r="C12" s="3">
        <v>45168</v>
      </c>
      <c r="D12" s="3">
        <v>45240</v>
      </c>
      <c r="E12" s="10" t="s">
        <v>39</v>
      </c>
      <c r="F12" s="4" t="s">
        <v>15</v>
      </c>
      <c r="G12" s="4" t="s">
        <v>16</v>
      </c>
      <c r="H12" s="4">
        <v>2</v>
      </c>
      <c r="I12" s="4">
        <v>0</v>
      </c>
      <c r="J12" s="4">
        <v>0</v>
      </c>
      <c r="K12" s="4">
        <v>0</v>
      </c>
      <c r="L12" s="8">
        <v>15</v>
      </c>
      <c r="M12" s="4">
        <v>0</v>
      </c>
      <c r="N12" s="4" t="s">
        <v>17</v>
      </c>
      <c r="O12" s="4" t="s">
        <v>17</v>
      </c>
      <c r="P12" s="4"/>
      <c r="Q12" s="3">
        <v>45240</v>
      </c>
      <c r="R12" s="4"/>
    </row>
    <row r="13" spans="1:18" s="9" customFormat="1">
      <c r="A13" s="3">
        <v>45240</v>
      </c>
      <c r="B13" s="4">
        <v>7221340722</v>
      </c>
      <c r="C13" s="3">
        <v>45196</v>
      </c>
      <c r="D13" s="3">
        <v>45240</v>
      </c>
      <c r="E13" s="7" t="s">
        <v>40</v>
      </c>
      <c r="F13" s="4" t="s">
        <v>15</v>
      </c>
      <c r="G13" s="4" t="s">
        <v>16</v>
      </c>
      <c r="H13" s="4">
        <v>1</v>
      </c>
      <c r="I13" s="4">
        <v>0</v>
      </c>
      <c r="J13" s="4">
        <v>2424</v>
      </c>
      <c r="K13" s="4">
        <v>0</v>
      </c>
      <c r="L13" s="8">
        <v>3</v>
      </c>
      <c r="M13" s="4">
        <v>0</v>
      </c>
      <c r="N13" s="4" t="s">
        <v>17</v>
      </c>
      <c r="O13" s="4" t="s">
        <v>17</v>
      </c>
      <c r="P13" s="4"/>
      <c r="Q13" s="3">
        <v>45240</v>
      </c>
      <c r="R13" s="4"/>
    </row>
    <row r="14" spans="1:18" s="9" customFormat="1">
      <c r="A14" s="3">
        <v>45240</v>
      </c>
      <c r="B14" s="4">
        <v>7221356365</v>
      </c>
      <c r="C14" s="3">
        <v>45197</v>
      </c>
      <c r="D14" s="3">
        <v>45240</v>
      </c>
      <c r="E14" s="7" t="s">
        <v>41</v>
      </c>
      <c r="F14" s="4" t="s">
        <v>15</v>
      </c>
      <c r="G14" s="4" t="s">
        <v>16</v>
      </c>
      <c r="H14" s="4">
        <v>1</v>
      </c>
      <c r="I14" s="4">
        <v>0</v>
      </c>
      <c r="J14" s="4">
        <v>4484</v>
      </c>
      <c r="K14" s="4">
        <v>0</v>
      </c>
      <c r="L14" s="8">
        <v>0</v>
      </c>
      <c r="M14" s="4">
        <v>0</v>
      </c>
      <c r="N14" s="4" t="s">
        <v>17</v>
      </c>
      <c r="O14" s="4" t="s">
        <v>17</v>
      </c>
      <c r="P14" s="4"/>
      <c r="Q14" s="3">
        <v>45240</v>
      </c>
      <c r="R14" s="4"/>
    </row>
    <row r="15" spans="1:18" s="9" customFormat="1">
      <c r="A15" s="3">
        <v>45240</v>
      </c>
      <c r="B15" s="4">
        <v>7221456690</v>
      </c>
      <c r="C15" s="3">
        <v>45231</v>
      </c>
      <c r="D15" s="3">
        <v>45240</v>
      </c>
      <c r="E15" s="7" t="s">
        <v>42</v>
      </c>
      <c r="F15" s="4" t="s">
        <v>15</v>
      </c>
      <c r="G15" s="4" t="s">
        <v>16</v>
      </c>
      <c r="H15" s="4">
        <v>2</v>
      </c>
      <c r="I15" s="4">
        <v>0</v>
      </c>
      <c r="J15" s="4">
        <v>4181</v>
      </c>
      <c r="K15" s="4">
        <v>0</v>
      </c>
      <c r="L15" s="8">
        <v>0</v>
      </c>
      <c r="M15" s="4">
        <v>0</v>
      </c>
      <c r="N15" s="4" t="s">
        <v>17</v>
      </c>
      <c r="O15" s="4" t="s">
        <v>17</v>
      </c>
      <c r="P15" s="4"/>
      <c r="Q15" s="3">
        <v>45240</v>
      </c>
      <c r="R15" s="4"/>
    </row>
    <row r="16" spans="1:18" s="9" customFormat="1">
      <c r="A16" s="3">
        <v>45240</v>
      </c>
      <c r="B16" s="4">
        <v>7221581275</v>
      </c>
      <c r="C16" s="3">
        <v>45232</v>
      </c>
      <c r="D16" s="3">
        <v>45240</v>
      </c>
      <c r="E16" s="7" t="s">
        <v>43</v>
      </c>
      <c r="F16" s="4" t="s">
        <v>15</v>
      </c>
      <c r="G16" s="4" t="s">
        <v>16</v>
      </c>
      <c r="H16" s="4">
        <v>3</v>
      </c>
      <c r="I16" s="4">
        <v>0</v>
      </c>
      <c r="J16" s="4">
        <v>2443</v>
      </c>
      <c r="K16" s="4">
        <v>0</v>
      </c>
      <c r="L16" s="8">
        <v>0</v>
      </c>
      <c r="M16" s="4">
        <v>0</v>
      </c>
      <c r="N16" s="4" t="s">
        <v>17</v>
      </c>
      <c r="O16" s="4" t="s">
        <v>17</v>
      </c>
      <c r="P16" s="4"/>
      <c r="Q16" s="3">
        <v>45240</v>
      </c>
      <c r="R16" s="4"/>
    </row>
    <row r="17" spans="1:18" s="9" customFormat="1">
      <c r="A17" s="3">
        <v>45240</v>
      </c>
      <c r="B17" s="4">
        <v>7221580343</v>
      </c>
      <c r="C17" s="3">
        <v>45232</v>
      </c>
      <c r="D17" s="3">
        <v>45240</v>
      </c>
      <c r="E17" s="7" t="s">
        <v>43</v>
      </c>
      <c r="F17" s="4" t="s">
        <v>15</v>
      </c>
      <c r="G17" s="4" t="s">
        <v>16</v>
      </c>
      <c r="H17" s="4">
        <v>2</v>
      </c>
      <c r="I17" s="4">
        <v>0</v>
      </c>
      <c r="J17" s="4">
        <v>2443</v>
      </c>
      <c r="K17" s="4">
        <v>0</v>
      </c>
      <c r="L17" s="8">
        <v>0</v>
      </c>
      <c r="M17" s="4">
        <v>0</v>
      </c>
      <c r="N17" s="4" t="s">
        <v>17</v>
      </c>
      <c r="O17" s="4" t="s">
        <v>17</v>
      </c>
      <c r="P17" s="4"/>
      <c r="Q17" s="3">
        <v>45240</v>
      </c>
      <c r="R17" s="4"/>
    </row>
    <row r="18" spans="1:18" s="12" customFormat="1">
      <c r="A18" s="3">
        <v>45240</v>
      </c>
      <c r="B18" s="4">
        <v>7221584123</v>
      </c>
      <c r="C18" s="3">
        <v>45232</v>
      </c>
      <c r="D18" s="3">
        <v>45240</v>
      </c>
      <c r="E18" s="7" t="s">
        <v>43</v>
      </c>
      <c r="F18" s="4" t="s">
        <v>15</v>
      </c>
      <c r="G18" s="4" t="s">
        <v>16</v>
      </c>
      <c r="H18" s="4">
        <v>2</v>
      </c>
      <c r="I18" s="4">
        <v>0</v>
      </c>
      <c r="J18" s="4">
        <v>2443</v>
      </c>
      <c r="K18" s="4">
        <v>0</v>
      </c>
      <c r="L18" s="8">
        <v>0</v>
      </c>
      <c r="M18" s="4">
        <v>0</v>
      </c>
      <c r="N18" s="4" t="s">
        <v>17</v>
      </c>
      <c r="O18" s="4" t="s">
        <v>17</v>
      </c>
      <c r="P18" s="4"/>
      <c r="Q18" s="3">
        <v>45240</v>
      </c>
      <c r="R18" s="4"/>
    </row>
    <row r="19" spans="1:18" s="12" customFormat="1">
      <c r="A19" s="3">
        <v>45240</v>
      </c>
      <c r="B19" s="4">
        <v>7221602625</v>
      </c>
      <c r="C19" s="3">
        <v>45232</v>
      </c>
      <c r="D19" s="3">
        <v>45240</v>
      </c>
      <c r="E19" s="7" t="s">
        <v>44</v>
      </c>
      <c r="F19" s="4" t="s">
        <v>15</v>
      </c>
      <c r="G19" s="4" t="s">
        <v>16</v>
      </c>
      <c r="H19" s="4">
        <v>1</v>
      </c>
      <c r="I19" s="4">
        <v>0</v>
      </c>
      <c r="J19" s="4">
        <v>1781</v>
      </c>
      <c r="K19" s="4">
        <v>0</v>
      </c>
      <c r="L19" s="8">
        <v>0</v>
      </c>
      <c r="M19" s="4">
        <v>0</v>
      </c>
      <c r="N19" s="4" t="s">
        <v>17</v>
      </c>
      <c r="O19" s="4" t="s">
        <v>17</v>
      </c>
      <c r="P19" s="4"/>
      <c r="Q19" s="3">
        <v>45240</v>
      </c>
      <c r="R19" s="4"/>
    </row>
    <row r="20" spans="1:18" s="12" customFormat="1">
      <c r="A20" s="3">
        <v>45240</v>
      </c>
      <c r="B20" s="4">
        <v>7221605226</v>
      </c>
      <c r="C20" s="3">
        <v>45232</v>
      </c>
      <c r="D20" s="3">
        <v>45240</v>
      </c>
      <c r="E20" s="7" t="s">
        <v>45</v>
      </c>
      <c r="F20" s="4" t="s">
        <v>15</v>
      </c>
      <c r="G20" s="4" t="s">
        <v>16</v>
      </c>
      <c r="H20" s="4">
        <v>1</v>
      </c>
      <c r="I20" s="4">
        <v>0</v>
      </c>
      <c r="J20" s="4">
        <v>1732</v>
      </c>
      <c r="K20" s="4">
        <v>0</v>
      </c>
      <c r="L20" s="8">
        <v>0</v>
      </c>
      <c r="M20" s="4">
        <v>0</v>
      </c>
      <c r="N20" s="4" t="s">
        <v>17</v>
      </c>
      <c r="O20" s="4" t="s">
        <v>17</v>
      </c>
      <c r="P20" s="4"/>
      <c r="Q20" s="3">
        <v>45240</v>
      </c>
      <c r="R20" s="4"/>
    </row>
  </sheetData>
  <phoneticPr fontId="2" type="noConversion"/>
  <hyperlinks>
    <hyperlink ref="E5" r:id="rId1" display="a0903109851@icloud.com,a0903109851@icloud.com" xr:uid="{653EF241-2EDA-44C5-A829-F02788ACBB9A}"/>
    <hyperlink ref="E14" r:id="rId2" display="swlin106@gmail.com,avery19910605@gmail.com" xr:uid="{26AA6997-EDB8-4BDF-9A08-2DB25C06E4ED}"/>
    <hyperlink ref="E15" r:id="rId3" display="purple@gding.com.tw,a1974@gding.com.tw,a0640@gding.com.tw,a3127@gding.com.tw" xr:uid="{0D498C69-B059-4321-82E7-EECBE047B871}"/>
    <hyperlink ref="E2" r:id="rId4" display="lun881006@gmail.com,ok35103510@gmail.com" xr:uid="{99EE61CD-1B9D-4654-8FFB-1938FBD11FF3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2023-10-26T15:29:58Z</dcterms:created>
  <dcterms:modified xsi:type="dcterms:W3CDTF">2024-01-04T15:09:20Z</dcterms:modified>
</cp:coreProperties>
</file>